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inbow\Desktop\"/>
    </mc:Choice>
  </mc:AlternateContent>
  <bookViews>
    <workbookView xWindow="0" yWindow="0" windowWidth="20490" windowHeight="7800"/>
  </bookViews>
  <sheets>
    <sheet name="1" sheetId="2" r:id="rId1"/>
    <sheet name="بانک" sheetId="1" r:id="rId2"/>
    <sheet name="تجارت6235" sheetId="3" r:id="rId3"/>
    <sheet name="تجارت2987" sheetId="4" r:id="rId4"/>
    <sheet name="رفاه8151" sheetId="5" r:id="rId5"/>
    <sheet name="مسکن" sheetId="6" r:id="rId6"/>
    <sheet name="ملت" sheetId="7" r:id="rId7"/>
    <sheet name="ملی" sheetId="8" r:id="rId8"/>
    <sheet name="پارسیان" sheetId="9" r:id="rId9"/>
    <sheet name="پارسیان 70004" sheetId="10" r:id="rId10"/>
  </sheets>
  <definedNames>
    <definedName name="_xlnm._FilterDatabase" localSheetId="0" hidden="1">'1'!$A$1:$BA$137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137" i="2" l="1"/>
  <c r="BA2" i="2"/>
  <c r="BA3" i="2"/>
  <c r="BA4" i="2"/>
  <c r="BA5" i="2"/>
  <c r="BA6" i="2"/>
  <c r="BA7" i="2"/>
  <c r="BA8" i="2"/>
  <c r="BA9" i="2"/>
  <c r="BA10" i="2"/>
  <c r="BA11" i="2"/>
  <c r="BA12" i="2"/>
  <c r="BA13" i="2"/>
  <c r="BA14" i="2"/>
  <c r="BA15" i="2"/>
  <c r="BA16" i="2"/>
  <c r="BA17" i="2"/>
  <c r="BA18" i="2"/>
  <c r="BA19" i="2"/>
  <c r="BA20" i="2"/>
  <c r="BA21" i="2"/>
  <c r="BA22" i="2"/>
  <c r="BA23" i="2"/>
  <c r="BA24" i="2"/>
  <c r="BA25" i="2"/>
  <c r="BA26" i="2"/>
  <c r="BA27" i="2"/>
  <c r="BA28" i="2"/>
  <c r="BA29" i="2"/>
  <c r="BA30" i="2"/>
  <c r="BA31" i="2"/>
  <c r="BA32" i="2"/>
  <c r="BA33" i="2"/>
  <c r="BA34" i="2"/>
  <c r="BA35" i="2"/>
  <c r="BA36" i="2"/>
  <c r="BA37" i="2"/>
  <c r="BA38" i="2"/>
  <c r="BA39" i="2"/>
  <c r="BA40" i="2"/>
  <c r="BA41" i="2"/>
  <c r="BA42" i="2"/>
  <c r="BA43" i="2"/>
  <c r="BA44" i="2"/>
  <c r="BA45" i="2"/>
  <c r="BA46" i="2"/>
  <c r="BA47" i="2"/>
  <c r="BA48" i="2"/>
  <c r="BA49" i="2"/>
  <c r="BA50" i="2"/>
  <c r="BA51" i="2"/>
  <c r="BA52" i="2"/>
  <c r="BA53" i="2"/>
  <c r="BA54" i="2"/>
  <c r="BA55" i="2"/>
  <c r="BA56" i="2"/>
  <c r="BA57" i="2"/>
  <c r="BA58" i="2"/>
  <c r="BA59" i="2"/>
  <c r="BA60" i="2"/>
  <c r="BA61" i="2"/>
  <c r="BA62" i="2"/>
  <c r="BA63" i="2"/>
  <c r="BA64" i="2"/>
  <c r="BA65" i="2"/>
  <c r="BA66" i="2"/>
  <c r="BA67" i="2"/>
  <c r="BA68" i="2"/>
  <c r="BA69" i="2"/>
  <c r="BA70" i="2"/>
  <c r="BA71" i="2"/>
  <c r="BA72" i="2"/>
  <c r="BA73" i="2"/>
  <c r="BA74" i="2"/>
  <c r="BA75" i="2"/>
  <c r="BA76" i="2"/>
  <c r="BA77" i="2"/>
  <c r="BA78" i="2"/>
  <c r="BA79" i="2"/>
  <c r="BA80" i="2"/>
  <c r="BA81" i="2"/>
  <c r="BA82" i="2"/>
  <c r="BA83" i="2"/>
  <c r="BA84" i="2"/>
  <c r="BA85" i="2"/>
  <c r="BA86" i="2"/>
  <c r="BA87" i="2"/>
  <c r="BA88" i="2"/>
  <c r="BA89" i="2"/>
  <c r="BA90" i="2"/>
  <c r="BA91" i="2"/>
  <c r="BA92" i="2"/>
  <c r="BA93" i="2"/>
  <c r="BA94" i="2"/>
  <c r="BA95" i="2"/>
  <c r="BA96" i="2"/>
  <c r="BA97" i="2"/>
  <c r="BA98" i="2"/>
  <c r="BA99" i="2"/>
  <c r="BA100" i="2"/>
  <c r="BA101" i="2"/>
  <c r="BA102" i="2"/>
  <c r="BA103" i="2"/>
  <c r="BA104" i="2"/>
  <c r="BA105" i="2"/>
  <c r="BA106" i="2"/>
  <c r="BA107" i="2"/>
  <c r="BA108" i="2"/>
  <c r="BA109" i="2"/>
  <c r="BA110" i="2"/>
  <c r="BA111" i="2"/>
  <c r="BA112" i="2"/>
  <c r="BA113" i="2"/>
  <c r="BA114" i="2"/>
  <c r="BA115" i="2"/>
  <c r="BA116" i="2"/>
  <c r="BA117" i="2"/>
  <c r="BA118" i="2"/>
  <c r="BA119" i="2"/>
  <c r="BA120" i="2"/>
  <c r="BA121" i="2"/>
  <c r="BA122" i="2"/>
  <c r="BA123" i="2"/>
  <c r="BA124" i="2"/>
  <c r="BA125" i="2"/>
  <c r="BA126" i="2"/>
  <c r="BA127" i="2"/>
  <c r="BA128" i="2"/>
  <c r="BA129" i="2"/>
  <c r="BA130" i="2"/>
  <c r="BA131" i="2"/>
  <c r="BA132" i="2"/>
  <c r="BA133" i="2"/>
  <c r="BA134" i="2"/>
  <c r="BA135" i="2"/>
  <c r="BA136" i="2"/>
  <c r="I15" i="1" l="1"/>
  <c r="D11" i="1"/>
  <c r="I11" i="1"/>
  <c r="F14" i="9"/>
  <c r="F15" i="9" s="1"/>
  <c r="E13" i="9"/>
  <c r="E12" i="9"/>
  <c r="E15" i="9" s="1"/>
  <c r="F10" i="9"/>
  <c r="E10" i="9"/>
  <c r="F11" i="8"/>
  <c r="I9" i="1" l="1"/>
  <c r="C15" i="7"/>
  <c r="C14" i="7"/>
  <c r="C16" i="7" s="1"/>
  <c r="B13" i="7"/>
  <c r="B16" i="7" s="1"/>
  <c r="C11" i="7"/>
  <c r="B11" i="7"/>
  <c r="I8" i="1" l="1"/>
  <c r="I5" i="1"/>
  <c r="I4" i="1" l="1"/>
  <c r="M28" i="4"/>
  <c r="M27" i="4"/>
  <c r="M29" i="4" s="1"/>
  <c r="L26" i="4"/>
  <c r="L29" i="4" s="1"/>
  <c r="M24" i="4"/>
  <c r="L24" i="4"/>
  <c r="I3" i="1" l="1"/>
  <c r="M26" i="3"/>
  <c r="M27" i="3" s="1"/>
  <c r="L25" i="3"/>
  <c r="L27" i="3" s="1"/>
  <c r="M23" i="3"/>
  <c r="L23" i="3"/>
  <c r="L18" i="1" l="1"/>
  <c r="K16" i="1" l="1"/>
  <c r="C15" i="1"/>
  <c r="E16" i="1"/>
  <c r="F16" i="1"/>
  <c r="G16" i="1"/>
  <c r="H16" i="1"/>
  <c r="I16" i="1"/>
  <c r="D16" i="1"/>
  <c r="J15" i="1"/>
  <c r="L15" i="1" s="1"/>
  <c r="J4" i="1" l="1"/>
  <c r="J5" i="1"/>
  <c r="J6" i="1"/>
  <c r="J7" i="1"/>
  <c r="J8" i="1"/>
  <c r="J9" i="1"/>
  <c r="J10" i="1"/>
  <c r="J11" i="1"/>
  <c r="J12" i="1"/>
  <c r="J13" i="1"/>
  <c r="J14" i="1"/>
  <c r="J3" i="1"/>
  <c r="J16" i="1" l="1"/>
  <c r="L14" i="1"/>
  <c r="C14" i="1"/>
  <c r="L13" i="1"/>
  <c r="C13" i="1"/>
  <c r="A13" i="1"/>
  <c r="C12" i="1"/>
  <c r="A12" i="1"/>
  <c r="C11" i="1"/>
  <c r="A11" i="1"/>
  <c r="L10" i="1"/>
  <c r="C10" i="1"/>
  <c r="A10" i="1"/>
  <c r="C9" i="1"/>
  <c r="A9" i="1"/>
  <c r="L8" i="1"/>
  <c r="C8" i="1"/>
  <c r="A8" i="1"/>
  <c r="L7" i="1"/>
  <c r="C7" i="1"/>
  <c r="A7" i="1"/>
  <c r="L6" i="1"/>
  <c r="C6" i="1"/>
  <c r="A6" i="1"/>
  <c r="L5" i="1"/>
  <c r="A5" i="1"/>
  <c r="L4" i="1"/>
  <c r="C4" i="1"/>
  <c r="A4" i="1"/>
  <c r="C3" i="1"/>
  <c r="A3" i="1"/>
  <c r="C5" i="1" l="1"/>
  <c r="C16" i="1" s="1"/>
  <c r="L12" i="1"/>
  <c r="L11" i="1"/>
  <c r="L9" i="1"/>
  <c r="L3" i="1" l="1"/>
  <c r="L16" i="1" l="1"/>
  <c r="L19" i="1" s="1"/>
  <c r="L20" i="1" s="1"/>
</calcChain>
</file>

<file path=xl/sharedStrings.xml><?xml version="1.0" encoding="utf-8"?>
<sst xmlns="http://schemas.openxmlformats.org/spreadsheetml/2006/main" count="1185" uniqueCount="378">
  <si>
    <t>گزارش مقایسه ای فروش واریزی به بانک و فروش در سامانه مودیان</t>
  </si>
  <si>
    <t>تاریخ:</t>
  </si>
  <si>
    <t>ردیف</t>
  </si>
  <si>
    <t>نام بانک</t>
  </si>
  <si>
    <t>مبلغ واریزی کل</t>
  </si>
  <si>
    <t>جابه جایی خودمان</t>
  </si>
  <si>
    <t>وام</t>
  </si>
  <si>
    <t>کارت به کارت مشتری</t>
  </si>
  <si>
    <t>وصول چک مشتری</t>
  </si>
  <si>
    <t>پوز (شاپرک)</t>
  </si>
  <si>
    <t>جمع واریزی از فروش</t>
  </si>
  <si>
    <t>برگشت از فروش</t>
  </si>
  <si>
    <t>فروش خالص</t>
  </si>
  <si>
    <t>تجارت 76235</t>
  </si>
  <si>
    <t>تجارت 2987</t>
  </si>
  <si>
    <t>رفاه 18151</t>
  </si>
  <si>
    <t>رفاه 5421</t>
  </si>
  <si>
    <t>صادرات 6009</t>
  </si>
  <si>
    <t>مسکن 41509</t>
  </si>
  <si>
    <t>ملت 19378.39</t>
  </si>
  <si>
    <t>ملی 3001</t>
  </si>
  <si>
    <t>پارسیان42000</t>
  </si>
  <si>
    <t>پست بانک 55782</t>
  </si>
  <si>
    <t>ولی عصر 875</t>
  </si>
  <si>
    <t>تجارت 305</t>
  </si>
  <si>
    <t>جمع</t>
  </si>
  <si>
    <t>نتیجه گزارش</t>
  </si>
  <si>
    <t>مبلغ</t>
  </si>
  <si>
    <t>فروش اکسل مودیان</t>
  </si>
  <si>
    <t>اختلاف</t>
  </si>
  <si>
    <t>نقدی</t>
  </si>
  <si>
    <t>پارسیان 70004</t>
  </si>
  <si>
    <t>1404/07/18</t>
  </si>
  <si>
    <t>کد صورت حساب در سیستم حسابداری</t>
  </si>
  <si>
    <t>کد شخص
 در سیستم حسابداری</t>
  </si>
  <si>
    <t>نام طرف حساب</t>
  </si>
  <si>
    <t>نوع طرف حساب</t>
  </si>
  <si>
    <t>کد ملی / شناسه ملی</t>
  </si>
  <si>
    <t>کد اقتصادی</t>
  </si>
  <si>
    <t>کد پستی</t>
  </si>
  <si>
    <t>تلفن</t>
  </si>
  <si>
    <t>آدرس</t>
  </si>
  <si>
    <t>کد شعبه</t>
  </si>
  <si>
    <t>شماره گذرنامه</t>
  </si>
  <si>
    <t>کد کالا در سیستم حسابداری</t>
  </si>
  <si>
    <t>شناسه کالا</t>
  </si>
  <si>
    <t>نام کالا</t>
  </si>
  <si>
    <t>نوع کالا</t>
  </si>
  <si>
    <t xml:space="preserve">واحد اندازه گیری </t>
  </si>
  <si>
    <t>نرخ ارزش افزوده</t>
  </si>
  <si>
    <t>موضوع سایر وجوه قانونی</t>
  </si>
  <si>
    <t>نرخ سایر وجوه قانونی</t>
  </si>
  <si>
    <t>موضوع سایر مالیات و عوارض</t>
  </si>
  <si>
    <t>نرخ سایر مالیات و عوارض</t>
  </si>
  <si>
    <t>مبلغ سایر وجوه قانونی</t>
  </si>
  <si>
    <t>مبلغ سایر مالیات و عوارض</t>
  </si>
  <si>
    <t>تاریخ و زمان صدور صورت حساب</t>
  </si>
  <si>
    <t>نوع صورت حساب</t>
  </si>
  <si>
    <t>الگوی صورت حساب</t>
  </si>
  <si>
    <t>موضوع صورت حساب</t>
  </si>
  <si>
    <t>روش تسویه</t>
  </si>
  <si>
    <t>تعداد/مقدار</t>
  </si>
  <si>
    <t>مبلغ واحد</t>
  </si>
  <si>
    <t>مبلغ تخفیف</t>
  </si>
  <si>
    <t>مالیات موضوع ماده 17</t>
  </si>
  <si>
    <t>مجموع مبلغ دریافتی با ارزش افزوده</t>
  </si>
  <si>
    <t xml:space="preserve">نوع پرواز </t>
  </si>
  <si>
    <t xml:space="preserve">کد ملی مسافر </t>
  </si>
  <si>
    <t>اجرت ساخت</t>
  </si>
  <si>
    <t>سود فروشنده</t>
  </si>
  <si>
    <t>حق العمل</t>
  </si>
  <si>
    <t>عیار</t>
  </si>
  <si>
    <t xml:space="preserve">نرخ ارزش افزوده سود و کارمزد طلا </t>
  </si>
  <si>
    <t>توضیحات فاکتور</t>
  </si>
  <si>
    <t xml:space="preserve">شناسه یکتای ثبت قرارداد پیمانکاری </t>
  </si>
  <si>
    <t xml:space="preserve">شماره اشتراک/ شناسه قبض بهره بردار </t>
  </si>
  <si>
    <t xml:space="preserve">شناسه یکتای حق العمل کاری </t>
  </si>
  <si>
    <t>شماره موبایل طرف حساب</t>
  </si>
  <si>
    <t>مصرف کننده نهایی</t>
  </si>
  <si>
    <r>
      <rPr>
        <sz val="8"/>
        <rFont val="Calibri"/>
      </rPr>
      <t xml:space="preserve">نشانی: تهران - خیابان آیت ا... طالقانی، تقاطع خیابان استاد نجات اللهی، شماره 15
صندوق های پستی: 11365-3139-5416                      </t>
    </r>
  </si>
  <si>
    <r>
      <rPr>
        <sz val="8"/>
        <rFont val="Tahoma"/>
      </rPr>
      <t>1404/07/19</t>
    </r>
  </si>
  <si>
    <r>
      <rPr>
        <sz val="8"/>
        <rFont val="Tahoma"/>
      </rPr>
      <t>تاریخ:</t>
    </r>
  </si>
  <si>
    <r>
      <rPr>
        <b/>
        <sz val="8"/>
        <rFont val="Tahoma"/>
      </rPr>
      <t>محمدتقی عموئی</t>
    </r>
  </si>
  <si>
    <r>
      <rPr>
        <b/>
        <sz val="8"/>
        <rFont val="Tahoma"/>
      </rPr>
      <t>کاربر:</t>
    </r>
  </si>
  <si>
    <r>
      <rPr>
        <b/>
        <sz val="8"/>
        <rFont val="Tahoma"/>
      </rPr>
      <t>مشتری:</t>
    </r>
  </si>
  <si>
    <r>
      <rPr>
        <b/>
        <sz val="8"/>
        <rFont val="Calibri"/>
      </rPr>
      <t>تمامی تراکنش ها</t>
    </r>
  </si>
  <si>
    <r>
      <rPr>
        <b/>
        <sz val="8"/>
        <rFont val="Tahoma"/>
      </rPr>
      <t>نوع تراکنش :</t>
    </r>
  </si>
  <si>
    <t/>
  </si>
  <si>
    <r>
      <rPr>
        <b/>
        <sz val="8"/>
        <rFont val="Tahoma"/>
      </rPr>
      <t xml:space="preserve">دسته بندی </t>
    </r>
  </si>
  <si>
    <r>
      <rPr>
        <b/>
        <sz val="8"/>
        <rFont val="Tahoma"/>
      </rPr>
      <t>از تاریخ  1404/07/17   تا تاریخ     1404/07/18</t>
    </r>
  </si>
  <si>
    <r>
      <rPr>
        <sz val="9"/>
        <rFont val="Calibri"/>
      </rPr>
      <t>خلاصه وضعیت دوره</t>
    </r>
  </si>
  <si>
    <r>
      <rPr>
        <b/>
        <sz val="8"/>
        <rFont val="Tahoma"/>
      </rPr>
      <t>مانده انتهایی دوره</t>
    </r>
  </si>
  <si>
    <r>
      <rPr>
        <b/>
        <sz val="8"/>
        <rFont val="Tahoma"/>
      </rPr>
      <t>مانده ابتدایی دوره</t>
    </r>
  </si>
  <si>
    <r>
      <rPr>
        <b/>
        <sz val="8"/>
        <rFont val="Tahoma"/>
      </rPr>
      <t>بستانکار</t>
    </r>
  </si>
  <si>
    <r>
      <rPr>
        <b/>
        <sz val="8"/>
        <rFont val="Tahoma"/>
      </rPr>
      <t>بدهکار</t>
    </r>
  </si>
  <si>
    <r>
      <rPr>
        <b/>
        <sz val="8"/>
        <rFont val="Tahoma"/>
      </rPr>
      <t>تعداد تراکنش</t>
    </r>
  </si>
  <si>
    <r>
      <rPr>
        <b/>
        <sz val="8"/>
        <rFont val="Tahoma"/>
      </rPr>
      <t>شماره حساب</t>
    </r>
  </si>
  <si>
    <r>
      <rPr>
        <b/>
        <sz val="8"/>
        <rFont val="Tahoma"/>
      </rPr>
      <t>13,808,044,695</t>
    </r>
  </si>
  <si>
    <r>
      <rPr>
        <b/>
        <sz val="8"/>
        <rFont val="Tahoma"/>
      </rPr>
      <t>17,364,339,741</t>
    </r>
  </si>
  <si>
    <r>
      <rPr>
        <b/>
        <sz val="8"/>
        <rFont val="Tahoma"/>
      </rPr>
      <t>220,665,000</t>
    </r>
  </si>
  <si>
    <r>
      <rPr>
        <b/>
        <sz val="8"/>
        <rFont val="Tahoma"/>
      </rPr>
      <t>3,776,960,046</t>
    </r>
  </si>
  <si>
    <r>
      <rPr>
        <b/>
        <sz val="8"/>
        <rFont val="Tahoma"/>
      </rPr>
      <t>10</t>
    </r>
  </si>
  <si>
    <r>
      <rPr>
        <b/>
        <sz val="8"/>
        <rFont val="Tahoma"/>
      </rPr>
      <t>0000985076235</t>
    </r>
  </si>
  <si>
    <r>
      <rPr>
        <sz val="9"/>
        <rFont val="Calibri"/>
      </rPr>
      <t>جزئیات دوره</t>
    </r>
  </si>
  <si>
    <t>RRN</t>
  </si>
  <si>
    <t>کد رهگیری</t>
  </si>
  <si>
    <t>شناسه پرداخت دوم</t>
  </si>
  <si>
    <t>شناسه پرداخت اول</t>
  </si>
  <si>
    <t>شماره سند</t>
  </si>
  <si>
    <t>شرح سند</t>
  </si>
  <si>
    <t>شرح تراکنش</t>
  </si>
  <si>
    <t>شرح عملیات</t>
  </si>
  <si>
    <t>تشخیص</t>
  </si>
  <si>
    <t>واریز</t>
  </si>
  <si>
    <t>برداشت</t>
  </si>
  <si>
    <t>موجودی حساب</t>
  </si>
  <si>
    <t>زمان</t>
  </si>
  <si>
    <t>تاریخ</t>
  </si>
  <si>
    <t>شماره حساب</t>
  </si>
  <si>
    <t>000046871211</t>
  </si>
  <si>
    <t>0</t>
  </si>
  <si>
    <t>۲۱۷واريزپ شرح  جدول</t>
  </si>
  <si>
    <t>برداشت بابت کارمزد شاپرک شماره ارجاع۴۶۸۷۱۲۱۱</t>
  </si>
  <si>
    <t>9420</t>
  </si>
  <si>
    <t>کارمزد</t>
  </si>
  <si>
    <t>13,808,044,695</t>
  </si>
  <si>
    <t>13:52:50</t>
  </si>
  <si>
    <t>0000985076235</t>
  </si>
  <si>
    <t>۰۰۰۰۰۰۰۰۸۴۹۶ج ي نلکطسلمض</t>
  </si>
  <si>
    <t>واريز تجميعي شاپرک از طريق پايا</t>
  </si>
  <si>
    <t>فروش پوز</t>
  </si>
  <si>
    <t>13,808,053,191</t>
  </si>
  <si>
    <t>000734278700</t>
  </si>
  <si>
    <t>۰۰۰۰۰۰۰۰۰۰۰۰ج ي نلکطسلمض</t>
  </si>
  <si>
    <t>13,765,573,191</t>
  </si>
  <si>
    <t>13:25:33</t>
  </si>
  <si>
    <t>مجموع</t>
  </si>
  <si>
    <r>
      <rPr>
        <b/>
        <sz val="8"/>
        <rFont val="Tahoma"/>
      </rPr>
      <t>1,378,189,569</t>
    </r>
  </si>
  <si>
    <r>
      <rPr>
        <b/>
        <sz val="8"/>
        <rFont val="Tahoma"/>
      </rPr>
      <t>183,623,824</t>
    </r>
  </si>
  <si>
    <r>
      <rPr>
        <b/>
        <sz val="8"/>
        <rFont val="Tahoma"/>
      </rPr>
      <t>3,114,640,745</t>
    </r>
  </si>
  <si>
    <r>
      <rPr>
        <b/>
        <sz val="8"/>
        <rFont val="Tahoma"/>
      </rPr>
      <t>1,920,075,000</t>
    </r>
  </si>
  <si>
    <r>
      <rPr>
        <b/>
        <sz val="8"/>
        <rFont val="Tahoma"/>
      </rPr>
      <t>6</t>
    </r>
  </si>
  <si>
    <r>
      <rPr>
        <b/>
        <sz val="8"/>
        <rFont val="Tahoma"/>
      </rPr>
      <t>0004778552987</t>
    </r>
  </si>
  <si>
    <t>000979475106</t>
  </si>
  <si>
    <t>1,378,189,569</t>
  </si>
  <si>
    <t>14:16:01</t>
  </si>
  <si>
    <t>0004778552987</t>
  </si>
  <si>
    <t>000979474106</t>
  </si>
  <si>
    <t>156,686,989</t>
  </si>
  <si>
    <t>14:01:26</t>
  </si>
  <si>
    <t>5483855880</t>
  </si>
  <si>
    <t>278238</t>
  </si>
  <si>
    <t>8278238</t>
  </si>
  <si>
    <t>حواله پايا همراه بانک شباي مبداIR980180000000347785529874تجارت شباي مقصدIR570540211602000134642000پارسيان کد رهگيري۴۰۷۱۸۰۱۸۲۷۸۲۳۸۹</t>
  </si>
  <si>
    <t>جابجایی از تجارت2987 به پارسیان</t>
  </si>
  <si>
    <t>5,968,839</t>
  </si>
  <si>
    <t>07:52:44</t>
  </si>
  <si>
    <t>برداشت بابت کارمزد پايا شباي مبداIR980180000000347785529874تجارت شباي مقصدIR570540211602000134642000پارسيان کد رهگيري۴۰۷۱۸۰۱۸۲۷۸۲۳۸۹</t>
  </si>
  <si>
    <t>1,925,968,839</t>
  </si>
  <si>
    <t>جابجایی</t>
  </si>
  <si>
    <t xml:space="preserve">نام مشتري : محمدتقی عموئی 
شماره حساب : 222418151 
نوع حساب : جاری 
نام مستعار : جاری پخش  
از تاريخ : 1404/07/17 
تا تاريخ : 1404/07/18 
تعداد 400 گردش آخر
</t>
  </si>
  <si>
    <t>یادداشت</t>
  </si>
  <si>
    <t>موجودی</t>
  </si>
  <si>
    <t>توضیحات</t>
  </si>
  <si>
    <t>شناسه واریز</t>
  </si>
  <si>
    <t>چک/فیش</t>
  </si>
  <si>
    <t>شعبه</t>
  </si>
  <si>
    <t>984,774,190</t>
  </si>
  <si>
    <t>پایا040717041100000001167054077003مرکزشاپرک           شاپرک</t>
  </si>
  <si>
    <t>1841</t>
  </si>
  <si>
    <t>00000169</t>
  </si>
  <si>
    <t>‭13:19‬</t>
  </si>
  <si>
    <t>‭1404/07/18‬</t>
  </si>
  <si>
    <t>1</t>
  </si>
  <si>
    <r>
      <rPr>
        <b/>
        <sz val="10"/>
        <rFont val="IRANSans(FaNum)"/>
      </rPr>
      <t>بانک مسکن</t>
    </r>
  </si>
  <si>
    <r>
      <rPr>
        <sz val="10"/>
        <rFont val="IRANSans(FaNum)"/>
      </rPr>
      <t>نام و نام خانوادگی: محمدتقی عموئی</t>
    </r>
  </si>
  <si>
    <r>
      <rPr>
        <sz val="10"/>
        <rFont val="IRANSans(FaNum)"/>
      </rPr>
      <t>شماره حساب: 13012941509</t>
    </r>
  </si>
  <si>
    <r>
      <rPr>
        <sz val="10"/>
        <rFont val="IRANSans"/>
      </rPr>
      <t>شماره شبا: IR48 0140 0400 0001 3012 9415 09</t>
    </r>
  </si>
  <si>
    <r>
      <rPr>
        <sz val="10"/>
        <rFont val="IRANSans(FaNum)"/>
      </rPr>
      <t>صورت حساب کلي حساب</t>
    </r>
  </si>
  <si>
    <r>
      <rPr>
        <sz val="10"/>
        <rFont val="IRANSans(FaNum)"/>
      </rPr>
      <t>از تاریخ: 1404/07/17 تا تاریخ: 1404/07/18</t>
    </r>
  </si>
  <si>
    <r>
      <rPr>
        <sz val="10"/>
        <rFont val="IRANSans(FaNum)"/>
      </rPr>
      <t>تاریخ اخذ: 1404/07/19</t>
    </r>
  </si>
  <si>
    <t>تاريخ</t>
  </si>
  <si>
    <t>ساعت</t>
  </si>
  <si>
    <t>شماره پيگيري</t>
  </si>
  <si>
    <t>شماره چک</t>
  </si>
  <si>
    <t>شرح</t>
  </si>
  <si>
    <t>بدهکار</t>
  </si>
  <si>
    <t>بستانکار</t>
  </si>
  <si>
    <t>مانده</t>
  </si>
  <si>
    <t>محل پرداخت</t>
  </si>
  <si>
    <t>13:40</t>
  </si>
  <si>
    <t>16195709</t>
  </si>
  <si>
    <t>-</t>
  </si>
  <si>
    <t>واریز پایا-واریز غیر نقدی  مرکزشاپرک  بابت پرداخت قرض وتاییدیه دیون 040717052130000000072730206543 مرکزشاپرک واریز پایا کد پذیرنده  : 300000000727302</t>
  </si>
  <si>
    <t>9965  اداره کل نقدینگی و خزانه داری</t>
  </si>
  <si>
    <t>EMPTY</t>
  </si>
  <si>
    <t>واریز کننده/ ذیتفع</t>
  </si>
  <si>
    <t>شماره سریال</t>
  </si>
  <si>
    <t>کد حسابگری</t>
  </si>
  <si>
    <t>رديف</t>
  </si>
  <si>
    <t>خریدکارتخوان به پرداخت م:۳۲۲۷۹۳۱۰۱۹۴۷</t>
  </si>
  <si>
    <t>شاپرک-پوز۱۷۸۴۴۸۹</t>
  </si>
  <si>
    <t>شاپرک</t>
  </si>
  <si>
    <t>خریدکارتخوان به پرداخت م:۳۲۲۸۱۸۱۵۷۶۳۹</t>
  </si>
  <si>
    <t>خریدکارتخوان به پرداخت م:۳۲۲۷۸۱۱۷۵۷۳۹</t>
  </si>
  <si>
    <t>خریدکارتخوان به پرداخت م:۳۲۲۸۱۵۲۸۴۴۱۹</t>
  </si>
  <si>
    <t>خریدکارتخوان به پرداخت م:۳۲۲۷۹۹۳۷۰۴۷۲</t>
  </si>
  <si>
    <t>خریدکارتخوان به پرداخت م:۳۲۲۸۱۸۶۱۹۳۷۸</t>
  </si>
  <si>
    <t>کارمزد ۶ تراکنش ریز خرید شاپرک</t>
  </si>
  <si>
    <t>اداره کل مدیریت عملیات</t>
  </si>
  <si>
    <t>پرداخت قسط وام</t>
  </si>
  <si>
    <t>بازپرداخت تسهیلات_۱۴۰۳۴۴۸۷۷۸۳۴۹.</t>
  </si>
  <si>
    <t>محمدتقی عموئی</t>
  </si>
  <si>
    <t>اداره حسابداری متمرکز</t>
  </si>
  <si>
    <t>نام و نام خانوادگی:</t>
  </si>
  <si>
    <t>محمد تقی‌ ‌عموئی‌</t>
  </si>
  <si>
    <t>کد ملی:</t>
  </si>
  <si>
    <t>4578700976</t>
  </si>
  <si>
    <t>شماره حساب:</t>
  </si>
  <si>
    <t>0104026303001</t>
  </si>
  <si>
    <t>تاریخ و ساعت دانلود:</t>
  </si>
  <si>
    <t>1404/07/19 10:58</t>
  </si>
  <si>
    <t>از تاریخ:</t>
  </si>
  <si>
    <t>1404/07/17</t>
  </si>
  <si>
    <t>تا تاریخ:</t>
  </si>
  <si>
    <t>نوع</t>
  </si>
  <si>
    <t>شماره پیگیری</t>
  </si>
  <si>
    <t>اطلاعات تکمیلی</t>
  </si>
  <si>
    <t>کانال تراکنش</t>
  </si>
  <si>
    <t>طبقه بندی تراکنش</t>
  </si>
  <si>
    <t>توضیحات کاربر</t>
  </si>
  <si>
    <t>20:20:46</t>
  </si>
  <si>
    <t>خيابان شهيد مطهري بهشهر (9732)</t>
  </si>
  <si>
    <t>BCG10135</t>
  </si>
  <si>
    <t>0116628569008، L1097329246271-17973264589368</t>
  </si>
  <si>
    <t>انتقالي</t>
  </si>
  <si>
    <t>شماره حساب طرف مقابل : 0116628569008،  نام کامل طرف مقابل :  بانك ملي،  شناسه واریز : 10000001404071854،  شناسه پرداخت : 17973264589368،  توضیحات : L1097329246271-17973264589368</t>
  </si>
  <si>
    <t>36,573,928</t>
  </si>
  <si>
    <t>TELLER</t>
  </si>
  <si>
    <t>تاریخ تراکنش</t>
  </si>
  <si>
    <t>مبلغ واریز</t>
  </si>
  <si>
    <t>مبلغ برداشت</t>
  </si>
  <si>
    <t>شماره ارجاع</t>
  </si>
  <si>
    <t>سریال چک/ شماره فیش</t>
  </si>
  <si>
    <t>شعبه عامل</t>
  </si>
  <si>
    <t>یادداشت مشتری</t>
  </si>
  <si>
    <t>شاپرک تجمیعی . رهگیری :040717061100000438269492867888  شرح:EMPTY فرستنده:مرکزشاپرک</t>
  </si>
  <si>
    <t>B0407185111691361960</t>
  </si>
  <si>
    <t>040717061100000438269492867888</t>
  </si>
  <si>
    <t>حسابداري کل (5111)</t>
  </si>
  <si>
    <t>شاپرک تجمیعی . رهگیری :040717061100000438296947814832  شرح:EMPTY فرستنده:مرکزشاپرک</t>
  </si>
  <si>
    <t>B0407185111691342700</t>
  </si>
  <si>
    <t>040717061100000438296947814832</t>
  </si>
  <si>
    <t>شاپرک تجمیعی . رهگیری :040717061100000438269488596057  شرح:EMPTY فرستنده:مرکزشاپرک</t>
  </si>
  <si>
    <t>B0407185111691188407</t>
  </si>
  <si>
    <t>040717061100000438269488596057</t>
  </si>
  <si>
    <t xml:space="preserve">واریز پایا با مشخصات :  رهگیری: 140407180182782389  شناسه پرداخت: EMPTY  شناسه تراکنش: BTEJ1404071826839.CT01274  شرح: GPAC-  نام: محمدتقی عمویی  شبا: IR980180000000347785529874  - تجارت </t>
  </si>
  <si>
    <t>B0407185111691187476</t>
  </si>
  <si>
    <t>140407180182782389</t>
  </si>
  <si>
    <t>کارمزد تمدید پیامک برداشت از حساب 02000134642000</t>
  </si>
  <si>
    <t>B0407185111690478821</t>
  </si>
  <si>
    <t>انتقالی کارمزد پیامک</t>
  </si>
  <si>
    <t>B0407185111690448245</t>
  </si>
  <si>
    <t>شاپرک تجمیعی . رهگیری :040717061100000438269488512604  شرح:EMPTY فرستنده:مرکزشاپرک</t>
  </si>
  <si>
    <t>B0407185111691345261</t>
  </si>
  <si>
    <t>040717061100000438269488512604</t>
  </si>
  <si>
    <t>پرداخت قسط وام ملی</t>
  </si>
  <si>
    <t>2720000002337</t>
  </si>
  <si>
    <t>چاي</t>
  </si>
  <si>
    <t>2720000001620</t>
  </si>
  <si>
    <t>قند</t>
  </si>
  <si>
    <t>2720000185733</t>
  </si>
  <si>
    <t>کشمش</t>
  </si>
  <si>
    <t>2720000064304</t>
  </si>
  <si>
    <t>پلاستيک</t>
  </si>
  <si>
    <t>2720000000081</t>
  </si>
  <si>
    <t>لوبيا</t>
  </si>
  <si>
    <t>2720000002146</t>
  </si>
  <si>
    <t>ليمو عماني</t>
  </si>
  <si>
    <t>2720000002788</t>
  </si>
  <si>
    <t>نشاسته</t>
  </si>
  <si>
    <t>2720000002023</t>
  </si>
  <si>
    <t>تخمه</t>
  </si>
  <si>
    <t>2720000044337</t>
  </si>
  <si>
    <t>حشره کش</t>
  </si>
  <si>
    <t>2720000064359</t>
  </si>
  <si>
    <t>دستکش</t>
  </si>
  <si>
    <t>2720000119349</t>
  </si>
  <si>
    <t>دستکش کار</t>
  </si>
  <si>
    <t>2904640501508</t>
  </si>
  <si>
    <t>پفک</t>
  </si>
  <si>
    <t>2720000042425</t>
  </si>
  <si>
    <t>برنجک</t>
  </si>
  <si>
    <t>2720000008117</t>
  </si>
  <si>
    <t>پوشک</t>
  </si>
  <si>
    <t>2720000098309</t>
  </si>
  <si>
    <t>مايع لباسشويي</t>
  </si>
  <si>
    <t>2720000007776</t>
  </si>
  <si>
    <t>دستمال</t>
  </si>
  <si>
    <t>2720000013012</t>
  </si>
  <si>
    <t>پودر دستي</t>
  </si>
  <si>
    <t>پودر ماشين</t>
  </si>
  <si>
    <t>2720000007769</t>
  </si>
  <si>
    <t>نوار بهداشتي</t>
  </si>
  <si>
    <t>2720000039302</t>
  </si>
  <si>
    <t>آبميوه</t>
  </si>
  <si>
    <t>2720000174805</t>
  </si>
  <si>
    <t>مايع دستشويي</t>
  </si>
  <si>
    <t>2720000013029</t>
  </si>
  <si>
    <t>مايع ظرفشويي</t>
  </si>
  <si>
    <t>2720000004768</t>
  </si>
  <si>
    <t>نمک</t>
  </si>
  <si>
    <t>2720000001668</t>
  </si>
  <si>
    <t>آدامس</t>
  </si>
  <si>
    <t>2720000007868</t>
  </si>
  <si>
    <t>پنبه</t>
  </si>
  <si>
    <t>2720000166053</t>
  </si>
  <si>
    <t>جرم گير</t>
  </si>
  <si>
    <t>2720000002764</t>
  </si>
  <si>
    <t>ماکاروني</t>
  </si>
  <si>
    <t>2720000007806</t>
  </si>
  <si>
    <t>شامپو</t>
  </si>
  <si>
    <t>2720000006793</t>
  </si>
  <si>
    <t>کبريت</t>
  </si>
  <si>
    <t>2720000007813</t>
  </si>
  <si>
    <t>صابون</t>
  </si>
  <si>
    <t>2720000099863</t>
  </si>
  <si>
    <t>حنا</t>
  </si>
  <si>
    <t>2720000002054</t>
  </si>
  <si>
    <t>زرشک</t>
  </si>
  <si>
    <t>2720000000982</t>
  </si>
  <si>
    <t>برنج</t>
  </si>
  <si>
    <t>2720000001866</t>
  </si>
  <si>
    <t>مربا</t>
  </si>
  <si>
    <t>2720000162970</t>
  </si>
  <si>
    <t>حلوا شکري</t>
  </si>
  <si>
    <t>2720000001187</t>
  </si>
  <si>
    <t>شکر</t>
  </si>
  <si>
    <t>2720000225798</t>
  </si>
  <si>
    <t>زعفران</t>
  </si>
  <si>
    <t>2720000161874</t>
  </si>
  <si>
    <t>روغن</t>
  </si>
  <si>
    <t>2720000001415</t>
  </si>
  <si>
    <t>آبليمو</t>
  </si>
  <si>
    <t>نايلکس</t>
  </si>
  <si>
    <t>2720000002757</t>
  </si>
  <si>
    <t>رشته</t>
  </si>
  <si>
    <t>2720000266067</t>
  </si>
  <si>
    <t>رب</t>
  </si>
  <si>
    <t>2720000001392</t>
  </si>
  <si>
    <t>کمپوت</t>
  </si>
  <si>
    <t>2720000064311</t>
  </si>
  <si>
    <t>پلاستيک زباله</t>
  </si>
  <si>
    <t>2720000001439</t>
  </si>
  <si>
    <t>سرکه</t>
  </si>
  <si>
    <t>2720000001378</t>
  </si>
  <si>
    <t>سس</t>
  </si>
  <si>
    <t>2720000229383</t>
  </si>
  <si>
    <t>سفره</t>
  </si>
  <si>
    <t>2720000001347</t>
  </si>
  <si>
    <t>کنسرو تن ماهي</t>
  </si>
  <si>
    <t>2720000013081</t>
  </si>
  <si>
    <t>سفيدکننده لباس</t>
  </si>
  <si>
    <t>2720000042432</t>
  </si>
  <si>
    <t>بوشار</t>
  </si>
  <si>
    <t>2720000001699</t>
  </si>
  <si>
    <t>بيسکويت</t>
  </si>
  <si>
    <t>2720000037872</t>
  </si>
  <si>
    <t>خرما</t>
  </si>
  <si>
    <t>2720000001385</t>
  </si>
  <si>
    <t>کنسرو لوبيا</t>
  </si>
  <si>
    <t>2720000169023</t>
  </si>
  <si>
    <t>کروسان</t>
  </si>
  <si>
    <t>2720000001880</t>
  </si>
  <si>
    <t>نبات</t>
  </si>
  <si>
    <t>2720000036714</t>
  </si>
  <si>
    <t>گردو</t>
  </si>
  <si>
    <t>1404-07-18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</si>
</sst>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(* #,##0_);_(* \(#,##0\);_(* &quot;-&quot;??_);_(@_)"/>
    <numFmt numFmtId="165" formatCode="#,###"/>
    <numFmt numFmtId="166" formatCode="[$-3000401]0"/>
  </numFmts>
  <fonts count="44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B Titr"/>
      <charset val="178"/>
    </font>
    <font>
      <sz val="13"/>
      <color theme="1"/>
      <name val="B Nazanin"/>
      <charset val="178"/>
    </font>
    <font>
      <b/>
      <sz val="13"/>
      <color theme="1"/>
      <name val="B Nazanin"/>
      <charset val="178"/>
    </font>
    <font>
      <sz val="14"/>
      <color rgb="FF000000"/>
      <name val="2  Titr"/>
      <charset val="178"/>
    </font>
    <font>
      <sz val="12"/>
      <color theme="1"/>
      <name val="Calibri"/>
      <family val="2"/>
      <scheme val="minor"/>
    </font>
    <font>
      <b/>
      <sz val="14"/>
      <color theme="1"/>
      <name val="B Nazanin"/>
      <charset val="178"/>
    </font>
    <font>
      <sz val="14"/>
      <color theme="1"/>
      <name val="B Nazanin"/>
      <charset val="178"/>
    </font>
    <font>
      <sz val="8"/>
      <color rgb="FF000000"/>
      <name val="Tahoma"/>
      <family val="2"/>
    </font>
    <font>
      <sz val="8"/>
      <name val="Calibri"/>
    </font>
    <font>
      <sz val="8"/>
      <name val="Tahoma"/>
    </font>
    <font>
      <b/>
      <sz val="8"/>
      <color rgb="FF000000"/>
      <name val="Tahoma"/>
      <family val="2"/>
    </font>
    <font>
      <b/>
      <sz val="8"/>
      <name val="Tahoma"/>
    </font>
    <font>
      <b/>
      <sz val="8"/>
      <name val="Calibri"/>
    </font>
    <font>
      <b/>
      <sz val="9"/>
      <color rgb="FF000000"/>
      <name val="Tahoma"/>
      <family val="2"/>
    </font>
    <font>
      <sz val="9"/>
      <name val="Calibri"/>
    </font>
    <font>
      <b/>
      <sz val="6"/>
      <color rgb="FF000000"/>
      <name val="Tahoma"/>
      <family val="2"/>
    </font>
    <font>
      <sz val="6"/>
      <color rgb="FF000000"/>
      <name val="Tahoma"/>
      <family val="2"/>
    </font>
    <font>
      <sz val="10"/>
      <name val="Arial"/>
    </font>
    <font>
      <sz val="10"/>
      <color indexed="8"/>
      <name val="SansSerif"/>
    </font>
    <font>
      <sz val="8"/>
      <color indexed="8"/>
      <name val="Tahoma"/>
    </font>
    <font>
      <sz val="10"/>
      <color theme="1"/>
      <name val="IRANSans(FaNum)"/>
      <family val="1"/>
    </font>
    <font>
      <b/>
      <sz val="10"/>
      <color theme="1"/>
      <name val="IRANSans(FaNum)"/>
      <family val="1"/>
    </font>
    <font>
      <b/>
      <sz val="10"/>
      <name val="IRANSans(FaNum)"/>
    </font>
    <font>
      <sz val="10"/>
      <name val="IRANSans(FaNum)"/>
    </font>
    <font>
      <sz val="10"/>
      <color theme="1"/>
      <name val="IRANSans"/>
      <family val="1"/>
    </font>
    <font>
      <sz val="10"/>
      <name val="IRANSans"/>
    </font>
    <font>
      <b/>
      <sz val="10"/>
      <color rgb="FFFFFFFF"/>
      <name val="IRANSans(FaNum)"/>
      <family val="1"/>
    </font>
    <font>
      <sz val="10"/>
      <name val="Tahoma"/>
      <family val="2"/>
    </font>
    <font>
      <b/>
      <sz val="10"/>
      <name val="Tahoma"/>
      <family val="2"/>
    </font>
    <font>
      <sz val="11"/>
      <color rgb="FF3F3F76"/>
      <name val="Calibri"/>
      <family val="2"/>
      <charset val="178"/>
      <scheme val="minor"/>
    </font>
    <font>
      <b/>
      <sz val="11"/>
      <color indexed="8"/>
      <name val="Tahoma"/>
      <family val="2"/>
    </font>
    <font>
      <sz val="10"/>
      <color indexed="10"/>
      <name val="Arial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9"/>
      <name val="Tahoma"/>
      <family val="2"/>
    </font>
    <font>
      <b/>
      <sz val="9"/>
      <color indexed="63"/>
      <name val="Tahoma"/>
      <family val="2"/>
    </font>
    <font>
      <b/>
      <sz val="9"/>
      <name val="Tahoma"/>
    </font>
    <font>
      <sz val="9"/>
      <name val="Tahoma"/>
    </font>
    <font>
      <sz val="9"/>
      <color indexed="8"/>
      <name val="Tahoma"/>
      <family val="2"/>
    </font>
    <font>
      <sz val="9"/>
      <color indexed="8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CC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C8D0E"/>
        <bgColor indexed="64"/>
      </patternFill>
    </fill>
    <fill>
      <patternFill patternType="solid">
        <fgColor rgb="FFEC8D0E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C99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8" fillId="0" borderId="0" applyFont="0" applyFill="0" applyBorder="0" applyAlignment="0" applyProtection="0"/>
    <xf numFmtId="0" fontId="3" fillId="0" borderId="0"/>
    <xf numFmtId="0" fontId="2" fillId="0" borderId="0"/>
    <xf numFmtId="0" fontId="21" fillId="0" borderId="0"/>
    <xf numFmtId="0" fontId="1" fillId="0" borderId="0"/>
    <xf numFmtId="43" fontId="1" fillId="0" borderId="0" applyFont="0" applyFill="0" applyBorder="0" applyAlignment="0" applyProtection="0"/>
    <xf numFmtId="0" fontId="33" fillId="20" borderId="28" applyNumberFormat="0" applyAlignment="0" applyProtection="0"/>
    <xf numFmtId="0" fontId="37" fillId="0" borderId="0"/>
  </cellStyleXfs>
  <cellXfs count="178">
    <xf numFmtId="0" fontId="0" fillId="0" borderId="0" xfId="0"/>
    <xf numFmtId="3" fontId="5" fillId="0" borderId="0" xfId="0" applyNumberFormat="1" applyFont="1" applyAlignment="1" applyProtection="1">
      <alignment horizontal="right" vertical="center"/>
      <protection locked="0"/>
    </xf>
    <xf numFmtId="3" fontId="5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3" fontId="6" fillId="0" borderId="0" xfId="0" applyNumberFormat="1" applyFont="1" applyBorder="1" applyAlignment="1" applyProtection="1">
      <alignment horizontal="center" vertical="center"/>
      <protection locked="0"/>
    </xf>
    <xf numFmtId="3" fontId="5" fillId="0" borderId="0" xfId="0" applyNumberFormat="1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3" fontId="6" fillId="0" borderId="6" xfId="0" applyNumberFormat="1" applyFont="1" applyBorder="1" applyAlignment="1" applyProtection="1">
      <alignment horizontal="right" vertical="center"/>
    </xf>
    <xf numFmtId="3" fontId="5" fillId="0" borderId="7" xfId="0" applyNumberFormat="1" applyFont="1" applyBorder="1" applyAlignment="1" applyProtection="1">
      <alignment horizontal="center" vertical="center"/>
    </xf>
    <xf numFmtId="0" fontId="5" fillId="0" borderId="5" xfId="0" applyFont="1" applyBorder="1" applyAlignment="1" applyProtection="1">
      <alignment horizontal="right" vertical="center"/>
    </xf>
    <xf numFmtId="3" fontId="5" fillId="0" borderId="5" xfId="0" applyNumberFormat="1" applyFont="1" applyBorder="1" applyAlignment="1" applyProtection="1">
      <alignment horizontal="right" vertical="center"/>
    </xf>
    <xf numFmtId="3" fontId="7" fillId="4" borderId="5" xfId="0" applyNumberFormat="1" applyFont="1" applyFill="1" applyBorder="1" applyAlignment="1" applyProtection="1">
      <alignment horizontal="center" vertical="center" wrapText="1"/>
      <protection locked="0"/>
    </xf>
    <xf numFmtId="3" fontId="7" fillId="2" borderId="5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/>
    </xf>
    <xf numFmtId="0" fontId="6" fillId="0" borderId="9" xfId="0" applyFont="1" applyFill="1" applyBorder="1" applyAlignment="1" applyProtection="1">
      <alignment horizontal="center" vertical="center"/>
    </xf>
    <xf numFmtId="3" fontId="6" fillId="0" borderId="9" xfId="0" applyNumberFormat="1" applyFont="1" applyFill="1" applyBorder="1" applyAlignment="1" applyProtection="1">
      <alignment horizontal="right" vertical="center"/>
    </xf>
    <xf numFmtId="3" fontId="6" fillId="3" borderId="8" xfId="0" applyNumberFormat="1" applyFont="1" applyFill="1" applyBorder="1" applyAlignment="1" applyProtection="1">
      <alignment horizontal="right" vertical="center"/>
    </xf>
    <xf numFmtId="3" fontId="5" fillId="3" borderId="7" xfId="0" applyNumberFormat="1" applyFont="1" applyFill="1" applyBorder="1" applyAlignment="1" applyProtection="1">
      <alignment horizontal="right" vertical="center"/>
    </xf>
    <xf numFmtId="0" fontId="6" fillId="0" borderId="4" xfId="0" applyFont="1" applyBorder="1" applyAlignment="1" applyProtection="1">
      <alignment horizontal="right" vertical="center"/>
    </xf>
    <xf numFmtId="0" fontId="6" fillId="0" borderId="6" xfId="0" applyFont="1" applyBorder="1" applyAlignment="1" applyProtection="1">
      <alignment horizontal="right" vertical="center"/>
    </xf>
    <xf numFmtId="0" fontId="5" fillId="0" borderId="0" xfId="0" applyFont="1" applyAlignment="1" applyProtection="1">
      <alignment horizontal="center" vertical="center"/>
    </xf>
    <xf numFmtId="3" fontId="4" fillId="0" borderId="0" xfId="0" applyNumberFormat="1" applyFont="1" applyBorder="1" applyAlignment="1" applyProtection="1">
      <alignment vertical="center"/>
    </xf>
    <xf numFmtId="3" fontId="5" fillId="0" borderId="0" xfId="0" applyNumberFormat="1" applyFont="1" applyAlignment="1" applyProtection="1">
      <alignment horizontal="center" vertical="center"/>
    </xf>
    <xf numFmtId="3" fontId="6" fillId="0" borderId="0" xfId="0" applyNumberFormat="1" applyFont="1" applyAlignment="1" applyProtection="1">
      <alignment horizontal="left" vertical="center"/>
    </xf>
    <xf numFmtId="3" fontId="5" fillId="5" borderId="8" xfId="0" applyNumberFormat="1" applyFont="1" applyFill="1" applyBorder="1" applyAlignment="1" applyProtection="1">
      <alignment horizontal="right" vertical="center"/>
    </xf>
    <xf numFmtId="3" fontId="5" fillId="7" borderId="5" xfId="0" applyNumberFormat="1" applyFont="1" applyFill="1" applyBorder="1" applyAlignment="1" applyProtection="1">
      <alignment horizontal="right" vertical="center"/>
    </xf>
    <xf numFmtId="3" fontId="6" fillId="7" borderId="3" xfId="0" applyNumberFormat="1" applyFont="1" applyFill="1" applyBorder="1" applyAlignment="1" applyProtection="1">
      <alignment horizontal="right" vertical="center"/>
    </xf>
    <xf numFmtId="3" fontId="6" fillId="5" borderId="6" xfId="0" applyNumberFormat="1" applyFont="1" applyFill="1" applyBorder="1" applyAlignment="1" applyProtection="1">
      <alignment horizontal="right" vertical="center"/>
    </xf>
    <xf numFmtId="3" fontId="5" fillId="8" borderId="7" xfId="0" applyNumberFormat="1" applyFont="1" applyFill="1" applyBorder="1" applyAlignment="1" applyProtection="1">
      <alignment horizontal="right" vertical="center"/>
      <protection locked="0"/>
    </xf>
    <xf numFmtId="3" fontId="6" fillId="8" borderId="8" xfId="0" applyNumberFormat="1" applyFont="1" applyFill="1" applyBorder="1" applyAlignment="1" applyProtection="1">
      <alignment horizontal="right" vertical="center"/>
      <protection locked="0"/>
    </xf>
    <xf numFmtId="3" fontId="5" fillId="9" borderId="2" xfId="0" applyNumberFormat="1" applyFont="1" applyFill="1" applyBorder="1" applyAlignment="1" applyProtection="1">
      <alignment horizontal="right" vertical="center"/>
    </xf>
    <xf numFmtId="3" fontId="6" fillId="9" borderId="1" xfId="0" applyNumberFormat="1" applyFont="1" applyFill="1" applyBorder="1" applyAlignment="1" applyProtection="1">
      <alignment horizontal="right" vertical="center"/>
    </xf>
    <xf numFmtId="3" fontId="5" fillId="10" borderId="4" xfId="0" applyNumberFormat="1" applyFont="1" applyFill="1" applyBorder="1" applyAlignment="1" applyProtection="1">
      <alignment horizontal="center" vertical="center"/>
    </xf>
    <xf numFmtId="3" fontId="5" fillId="10" borderId="3" xfId="0" applyNumberFormat="1" applyFont="1" applyFill="1" applyBorder="1" applyAlignment="1" applyProtection="1">
      <alignment horizontal="center" vertical="center"/>
    </xf>
    <xf numFmtId="3" fontId="4" fillId="0" borderId="0" xfId="0" applyNumberFormat="1" applyFont="1" applyBorder="1" applyAlignment="1" applyProtection="1">
      <alignment horizontal="right" vertical="center"/>
      <protection locked="0"/>
    </xf>
    <xf numFmtId="3" fontId="5" fillId="0" borderId="2" xfId="0" applyNumberFormat="1" applyFont="1" applyBorder="1" applyAlignment="1" applyProtection="1">
      <alignment horizontal="center" vertical="center"/>
    </xf>
    <xf numFmtId="0" fontId="5" fillId="0" borderId="9" xfId="0" applyFont="1" applyBorder="1" applyAlignment="1" applyProtection="1">
      <alignment horizontal="right" vertical="center"/>
    </xf>
    <xf numFmtId="3" fontId="5" fillId="7" borderId="9" xfId="0" applyNumberFormat="1" applyFont="1" applyFill="1" applyBorder="1" applyAlignment="1" applyProtection="1">
      <alignment horizontal="right" vertical="center"/>
    </xf>
    <xf numFmtId="3" fontId="5" fillId="5" borderId="1" xfId="0" applyNumberFormat="1" applyFont="1" applyFill="1" applyBorder="1" applyAlignment="1" applyProtection="1">
      <alignment horizontal="right" vertical="center"/>
    </xf>
    <xf numFmtId="3" fontId="7" fillId="11" borderId="9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11" xfId="0" applyFont="1" applyBorder="1" applyAlignment="1">
      <alignment horizontal="center" vertical="center" wrapText="1"/>
    </xf>
    <xf numFmtId="0" fontId="9" fillId="12" borderId="11" xfId="0" applyFont="1" applyFill="1" applyBorder="1" applyAlignment="1">
      <alignment horizontal="center" wrapText="1"/>
    </xf>
    <xf numFmtId="0" fontId="9" fillId="12" borderId="11" xfId="0" applyFont="1" applyFill="1" applyBorder="1" applyAlignment="1">
      <alignment horizontal="center" vertical="center"/>
    </xf>
    <xf numFmtId="0" fontId="9" fillId="12" borderId="11" xfId="0" applyFont="1" applyFill="1" applyBorder="1" applyAlignment="1">
      <alignment horizontal="center" vertical="center" wrapText="1"/>
    </xf>
    <xf numFmtId="49" fontId="9" fillId="12" borderId="11" xfId="0" applyNumberFormat="1" applyFont="1" applyFill="1" applyBorder="1" applyAlignment="1">
      <alignment horizontal="center" vertical="center"/>
    </xf>
    <xf numFmtId="1" fontId="9" fillId="13" borderId="11" xfId="0" applyNumberFormat="1" applyFont="1" applyFill="1" applyBorder="1" applyAlignment="1">
      <alignment horizontal="center" vertical="center" wrapText="1"/>
    </xf>
    <xf numFmtId="0" fontId="9" fillId="13" borderId="11" xfId="0" applyFont="1" applyFill="1" applyBorder="1" applyAlignment="1">
      <alignment horizontal="center" vertical="center" wrapText="1"/>
    </xf>
    <xf numFmtId="164" fontId="9" fillId="0" borderId="11" xfId="1" applyNumberFormat="1" applyFont="1" applyBorder="1" applyAlignment="1">
      <alignment horizontal="center" vertical="center" wrapText="1"/>
    </xf>
    <xf numFmtId="0" fontId="9" fillId="14" borderId="11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/>
    <xf numFmtId="49" fontId="10" fillId="0" borderId="0" xfId="0" applyNumberFormat="1" applyFont="1"/>
    <xf numFmtId="0" fontId="10" fillId="0" borderId="0" xfId="0" applyFont="1" applyAlignment="1">
      <alignment wrapText="1"/>
    </xf>
    <xf numFmtId="164" fontId="10" fillId="5" borderId="0" xfId="0" applyNumberFormat="1" applyFont="1" applyFill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1" fontId="10" fillId="0" borderId="0" xfId="0" applyNumberFormat="1" applyFont="1" applyAlignment="1">
      <alignment wrapText="1"/>
    </xf>
    <xf numFmtId="164" fontId="10" fillId="0" borderId="0" xfId="1" applyNumberFormat="1" applyFont="1"/>
    <xf numFmtId="0" fontId="3" fillId="2" borderId="0" xfId="2" applyNumberFormat="1" applyFont="1" applyFill="1" applyBorder="1" applyAlignment="1" applyProtection="1">
      <alignment wrapText="1"/>
      <protection locked="0"/>
    </xf>
    <xf numFmtId="0" fontId="3" fillId="0" borderId="0" xfId="2"/>
    <xf numFmtId="0" fontId="11" fillId="2" borderId="0" xfId="2" applyNumberFormat="1" applyFont="1" applyFill="1" applyBorder="1" applyAlignment="1" applyProtection="1">
      <alignment horizontal="right" vertical="top" wrapText="1"/>
    </xf>
    <xf numFmtId="0" fontId="11" fillId="2" borderId="0" xfId="2" applyNumberFormat="1" applyFont="1" applyFill="1" applyBorder="1" applyAlignment="1" applyProtection="1">
      <alignment horizontal="left" vertical="top" wrapText="1"/>
    </xf>
    <xf numFmtId="0" fontId="14" fillId="2" borderId="0" xfId="2" applyNumberFormat="1" applyFont="1" applyFill="1" applyBorder="1" applyAlignment="1" applyProtection="1">
      <alignment horizontal="right" vertical="center" wrapText="1"/>
    </xf>
    <xf numFmtId="0" fontId="17" fillId="2" borderId="12" xfId="2" applyNumberFormat="1" applyFont="1" applyFill="1" applyBorder="1" applyAlignment="1" applyProtection="1">
      <alignment horizontal="center" vertical="center" wrapText="1"/>
    </xf>
    <xf numFmtId="0" fontId="14" fillId="15" borderId="13" xfId="2" applyNumberFormat="1" applyFont="1" applyFill="1" applyBorder="1" applyAlignment="1" applyProtection="1">
      <alignment horizontal="center" vertical="center" wrapText="1"/>
    </xf>
    <xf numFmtId="0" fontId="14" fillId="2" borderId="13" xfId="2" applyNumberFormat="1" applyFont="1" applyFill="1" applyBorder="1" applyAlignment="1" applyProtection="1">
      <alignment horizontal="center" vertical="center" wrapText="1"/>
    </xf>
    <xf numFmtId="0" fontId="19" fillId="15" borderId="14" xfId="2" applyNumberFormat="1" applyFont="1" applyFill="1" applyBorder="1" applyAlignment="1" applyProtection="1">
      <alignment horizontal="center" vertical="center" wrapText="1"/>
    </xf>
    <xf numFmtId="0" fontId="19" fillId="15" borderId="15" xfId="2" applyNumberFormat="1" applyFont="1" applyFill="1" applyBorder="1" applyAlignment="1" applyProtection="1">
      <alignment horizontal="center" vertical="center" wrapText="1"/>
    </xf>
    <xf numFmtId="0" fontId="19" fillId="15" borderId="16" xfId="2" applyNumberFormat="1" applyFont="1" applyFill="1" applyBorder="1" applyAlignment="1" applyProtection="1">
      <alignment horizontal="center" vertical="center" wrapText="1"/>
    </xf>
    <xf numFmtId="0" fontId="19" fillId="15" borderId="17" xfId="2" applyNumberFormat="1" applyFont="1" applyFill="1" applyBorder="1" applyAlignment="1" applyProtection="1">
      <alignment horizontal="center" vertical="center" wrapText="1"/>
    </xf>
    <xf numFmtId="0" fontId="19" fillId="15" borderId="18" xfId="2" applyNumberFormat="1" applyFont="1" applyFill="1" applyBorder="1" applyAlignment="1" applyProtection="1">
      <alignment horizontal="center" vertical="center" wrapText="1"/>
    </xf>
    <xf numFmtId="0" fontId="20" fillId="2" borderId="19" xfId="2" applyNumberFormat="1" applyFont="1" applyFill="1" applyBorder="1" applyAlignment="1" applyProtection="1">
      <alignment horizontal="center" vertical="center" wrapText="1"/>
    </xf>
    <xf numFmtId="0" fontId="20" fillId="2" borderId="13" xfId="2" applyNumberFormat="1" applyFont="1" applyFill="1" applyBorder="1" applyAlignment="1" applyProtection="1">
      <alignment horizontal="center" vertical="center" wrapText="1"/>
    </xf>
    <xf numFmtId="3" fontId="20" fillId="2" borderId="13" xfId="2" applyNumberFormat="1" applyFont="1" applyFill="1" applyBorder="1" applyAlignment="1" applyProtection="1">
      <alignment horizontal="center" vertical="center" wrapText="1"/>
    </xf>
    <xf numFmtId="0" fontId="20" fillId="2" borderId="20" xfId="2" applyNumberFormat="1" applyFont="1" applyFill="1" applyBorder="1" applyAlignment="1" applyProtection="1">
      <alignment horizontal="center" vertical="center" wrapText="1"/>
    </xf>
    <xf numFmtId="0" fontId="20" fillId="10" borderId="11" xfId="2" applyNumberFormat="1" applyFont="1" applyFill="1" applyBorder="1" applyAlignment="1" applyProtection="1">
      <alignment horizontal="center" vertical="center" wrapText="1"/>
    </xf>
    <xf numFmtId="3" fontId="3" fillId="10" borderId="11" xfId="2" applyNumberFormat="1" applyFill="1" applyBorder="1"/>
    <xf numFmtId="0" fontId="3" fillId="10" borderId="11" xfId="2" applyFill="1" applyBorder="1"/>
    <xf numFmtId="0" fontId="2" fillId="2" borderId="0" xfId="3" applyNumberFormat="1" applyFont="1" applyFill="1" applyBorder="1" applyAlignment="1" applyProtection="1">
      <alignment wrapText="1"/>
      <protection locked="0"/>
    </xf>
    <xf numFmtId="0" fontId="2" fillId="0" borderId="0" xfId="3"/>
    <xf numFmtId="0" fontId="11" fillId="2" borderId="0" xfId="3" applyNumberFormat="1" applyFont="1" applyFill="1" applyBorder="1" applyAlignment="1" applyProtection="1">
      <alignment horizontal="right" vertical="top" wrapText="1"/>
    </xf>
    <xf numFmtId="0" fontId="11" fillId="2" borderId="0" xfId="3" applyNumberFormat="1" applyFont="1" applyFill="1" applyBorder="1" applyAlignment="1" applyProtection="1">
      <alignment horizontal="left" vertical="top" wrapText="1"/>
    </xf>
    <xf numFmtId="0" fontId="14" fillId="2" borderId="0" xfId="3" applyNumberFormat="1" applyFont="1" applyFill="1" applyBorder="1" applyAlignment="1" applyProtection="1">
      <alignment horizontal="right" vertical="center" wrapText="1"/>
    </xf>
    <xf numFmtId="0" fontId="17" fillId="2" borderId="12" xfId="3" applyNumberFormat="1" applyFont="1" applyFill="1" applyBorder="1" applyAlignment="1" applyProtection="1">
      <alignment horizontal="center" vertical="center" wrapText="1"/>
    </xf>
    <xf numFmtId="0" fontId="14" fillId="15" borderId="13" xfId="3" applyNumberFormat="1" applyFont="1" applyFill="1" applyBorder="1" applyAlignment="1" applyProtection="1">
      <alignment horizontal="center" vertical="center" wrapText="1"/>
    </xf>
    <xf numFmtId="0" fontId="14" fillId="2" borderId="13" xfId="3" applyNumberFormat="1" applyFont="1" applyFill="1" applyBorder="1" applyAlignment="1" applyProtection="1">
      <alignment horizontal="center" vertical="center" wrapText="1"/>
    </xf>
    <xf numFmtId="0" fontId="19" fillId="15" borderId="14" xfId="3" applyNumberFormat="1" applyFont="1" applyFill="1" applyBorder="1" applyAlignment="1" applyProtection="1">
      <alignment horizontal="center" vertical="center" wrapText="1"/>
    </xf>
    <xf numFmtId="0" fontId="19" fillId="15" borderId="15" xfId="3" applyNumberFormat="1" applyFont="1" applyFill="1" applyBorder="1" applyAlignment="1" applyProtection="1">
      <alignment horizontal="center" vertical="center" wrapText="1"/>
    </xf>
    <xf numFmtId="0" fontId="19" fillId="15" borderId="16" xfId="3" applyNumberFormat="1" applyFont="1" applyFill="1" applyBorder="1" applyAlignment="1" applyProtection="1">
      <alignment horizontal="center" vertical="center" wrapText="1"/>
    </xf>
    <xf numFmtId="0" fontId="19" fillId="15" borderId="17" xfId="3" applyNumberFormat="1" applyFont="1" applyFill="1" applyBorder="1" applyAlignment="1" applyProtection="1">
      <alignment horizontal="center" vertical="center" wrapText="1"/>
    </xf>
    <xf numFmtId="0" fontId="19" fillId="15" borderId="18" xfId="3" applyNumberFormat="1" applyFont="1" applyFill="1" applyBorder="1" applyAlignment="1" applyProtection="1">
      <alignment horizontal="center" vertical="center" wrapText="1"/>
    </xf>
    <xf numFmtId="0" fontId="20" fillId="2" borderId="19" xfId="3" applyNumberFormat="1" applyFont="1" applyFill="1" applyBorder="1" applyAlignment="1" applyProtection="1">
      <alignment horizontal="center" vertical="center" wrapText="1"/>
    </xf>
    <xf numFmtId="0" fontId="20" fillId="2" borderId="13" xfId="3" applyNumberFormat="1" applyFont="1" applyFill="1" applyBorder="1" applyAlignment="1" applyProtection="1">
      <alignment horizontal="center" vertical="center" wrapText="1"/>
    </xf>
    <xf numFmtId="3" fontId="20" fillId="2" borderId="13" xfId="3" applyNumberFormat="1" applyFont="1" applyFill="1" applyBorder="1" applyAlignment="1" applyProtection="1">
      <alignment horizontal="center" vertical="center" wrapText="1"/>
    </xf>
    <xf numFmtId="0" fontId="20" fillId="2" borderId="20" xfId="3" applyNumberFormat="1" applyFont="1" applyFill="1" applyBorder="1" applyAlignment="1" applyProtection="1">
      <alignment horizontal="center" vertical="center" wrapText="1"/>
    </xf>
    <xf numFmtId="0" fontId="20" fillId="5" borderId="11" xfId="3" applyNumberFormat="1" applyFont="1" applyFill="1" applyBorder="1" applyAlignment="1" applyProtection="1">
      <alignment horizontal="center" vertical="center" wrapText="1"/>
    </xf>
    <xf numFmtId="3" fontId="2" fillId="5" borderId="11" xfId="3" applyNumberFormat="1" applyFill="1" applyBorder="1"/>
    <xf numFmtId="0" fontId="2" fillId="5" borderId="11" xfId="3" applyFill="1" applyBorder="1"/>
    <xf numFmtId="0" fontId="22" fillId="0" borderId="0" xfId="4" applyFont="1" applyFill="1" applyBorder="1" applyAlignment="1">
      <alignment horizontal="left" vertical="top" wrapText="1"/>
    </xf>
    <xf numFmtId="0" fontId="21" fillId="0" borderId="0" xfId="4" applyFill="1"/>
    <xf numFmtId="0" fontId="23" fillId="0" borderId="21" xfId="4" applyFont="1" applyFill="1" applyBorder="1" applyAlignment="1">
      <alignment horizontal="right" vertical="center" wrapText="1"/>
    </xf>
    <xf numFmtId="0" fontId="23" fillId="0" borderId="21" xfId="4" applyFont="1" applyFill="1" applyBorder="1" applyAlignment="1">
      <alignment horizontal="center" vertical="center" wrapText="1"/>
    </xf>
    <xf numFmtId="165" fontId="23" fillId="0" borderId="21" xfId="4" applyNumberFormat="1" applyFont="1" applyFill="1" applyBorder="1" applyAlignment="1">
      <alignment horizontal="left" vertical="center" wrapText="1"/>
    </xf>
    <xf numFmtId="165" fontId="23" fillId="0" borderId="21" xfId="4" applyNumberFormat="1" applyFont="1" applyFill="1" applyBorder="1" applyAlignment="1">
      <alignment horizontal="center" vertical="center" wrapText="1"/>
    </xf>
    <xf numFmtId="165" fontId="23" fillId="10" borderId="11" xfId="4" applyNumberFormat="1" applyFont="1" applyFill="1" applyBorder="1" applyAlignment="1">
      <alignment horizontal="left" vertical="center" wrapText="1"/>
    </xf>
    <xf numFmtId="165" fontId="23" fillId="10" borderId="11" xfId="4" applyNumberFormat="1" applyFont="1" applyFill="1" applyBorder="1" applyAlignment="1">
      <alignment horizontal="center" vertical="center" wrapText="1"/>
    </xf>
    <xf numFmtId="0" fontId="21" fillId="0" borderId="0" xfId="4" applyFill="1" applyAlignment="1">
      <alignment horizontal="center"/>
    </xf>
    <xf numFmtId="0" fontId="24" fillId="0" borderId="0" xfId="5" applyNumberFormat="1" applyFont="1" applyFill="1" applyBorder="1" applyAlignment="1">
      <alignment horizontal="center" vertical="center"/>
    </xf>
    <xf numFmtId="0" fontId="30" fillId="17" borderId="11" xfId="5" applyNumberFormat="1" applyFont="1" applyFill="1" applyBorder="1" applyAlignment="1">
      <alignment horizontal="center" vertical="center" wrapText="1"/>
    </xf>
    <xf numFmtId="0" fontId="30" fillId="18" borderId="11" xfId="5" applyNumberFormat="1" applyFont="1" applyFill="1" applyBorder="1" applyAlignment="1">
      <alignment horizontal="center" vertical="center"/>
    </xf>
    <xf numFmtId="0" fontId="24" fillId="0" borderId="11" xfId="5" applyNumberFormat="1" applyFont="1" applyFill="1" applyBorder="1" applyAlignment="1">
      <alignment horizontal="center" vertical="center"/>
    </xf>
    <xf numFmtId="166" fontId="24" fillId="0" borderId="11" xfId="5" applyNumberFormat="1" applyFont="1" applyFill="1" applyBorder="1" applyAlignment="1">
      <alignment horizontal="center" vertical="center"/>
    </xf>
    <xf numFmtId="164" fontId="24" fillId="0" borderId="11" xfId="6" applyNumberFormat="1" applyFont="1" applyFill="1" applyBorder="1" applyAlignment="1">
      <alignment horizontal="center" vertical="center"/>
    </xf>
    <xf numFmtId="166" fontId="24" fillId="0" borderId="0" xfId="5" applyNumberFormat="1" applyFont="1" applyFill="1" applyBorder="1" applyAlignment="1">
      <alignment horizontal="center" vertical="center"/>
    </xf>
    <xf numFmtId="164" fontId="24" fillId="3" borderId="11" xfId="6" applyNumberFormat="1" applyFont="1" applyFill="1" applyBorder="1" applyAlignment="1">
      <alignment horizontal="center" vertical="center"/>
    </xf>
    <xf numFmtId="0" fontId="1" fillId="19" borderId="11" xfId="5" applyFill="1" applyBorder="1" applyAlignment="1">
      <alignment horizontal="center" vertical="center"/>
    </xf>
    <xf numFmtId="0" fontId="1" fillId="0" borderId="0" xfId="5" applyAlignment="1">
      <alignment horizontal="center" vertical="center"/>
    </xf>
    <xf numFmtId="3" fontId="1" fillId="0" borderId="0" xfId="5" applyNumberFormat="1" applyAlignment="1">
      <alignment horizontal="center" vertical="center"/>
    </xf>
    <xf numFmtId="21" fontId="1" fillId="0" borderId="0" xfId="5" applyNumberFormat="1" applyAlignment="1">
      <alignment horizontal="center" vertical="center"/>
    </xf>
    <xf numFmtId="0" fontId="1" fillId="5" borderId="11" xfId="5" applyFill="1" applyBorder="1" applyAlignment="1">
      <alignment horizontal="center" vertical="center"/>
    </xf>
    <xf numFmtId="3" fontId="1" fillId="5" borderId="11" xfId="5" applyNumberFormat="1" applyFill="1" applyBorder="1" applyAlignment="1">
      <alignment horizontal="center" vertical="center"/>
    </xf>
    <xf numFmtId="0" fontId="31" fillId="0" borderId="11" xfId="4" applyFont="1" applyBorder="1" applyAlignment="1">
      <alignment horizontal="center" vertical="center" wrapText="1"/>
    </xf>
    <xf numFmtId="0" fontId="31" fillId="0" borderId="29" xfId="4" applyFont="1" applyBorder="1" applyAlignment="1">
      <alignment horizontal="center" vertical="center" wrapText="1"/>
    </xf>
    <xf numFmtId="0" fontId="32" fillId="0" borderId="0" xfId="4" applyFont="1" applyBorder="1" applyAlignment="1">
      <alignment horizontal="center" vertical="center" wrapText="1"/>
    </xf>
    <xf numFmtId="0" fontId="32" fillId="0" borderId="11" xfId="4" applyFont="1" applyBorder="1" applyAlignment="1">
      <alignment horizontal="center" vertical="center" wrapText="1"/>
    </xf>
    <xf numFmtId="0" fontId="31" fillId="0" borderId="31" xfId="4" applyFont="1" applyBorder="1" applyAlignment="1">
      <alignment horizontal="center" vertical="center" wrapText="1"/>
    </xf>
    <xf numFmtId="0" fontId="34" fillId="21" borderId="11" xfId="7" applyFont="1" applyFill="1" applyBorder="1" applyAlignment="1">
      <alignment horizontal="center" vertical="center" wrapText="1"/>
    </xf>
    <xf numFmtId="3" fontId="35" fillId="0" borderId="21" xfId="4" applyNumberFormat="1" applyFont="1" applyBorder="1" applyAlignment="1">
      <alignment horizontal="center" vertical="center"/>
    </xf>
    <xf numFmtId="3" fontId="36" fillId="0" borderId="0" xfId="4" applyNumberFormat="1" applyFont="1" applyBorder="1" applyAlignment="1">
      <alignment horizontal="center" vertical="center"/>
    </xf>
    <xf numFmtId="3" fontId="36" fillId="3" borderId="11" xfId="4" applyNumberFormat="1" applyFont="1" applyFill="1" applyBorder="1" applyAlignment="1">
      <alignment horizontal="center" vertical="center"/>
    </xf>
    <xf numFmtId="3" fontId="31" fillId="3" borderId="11" xfId="4" applyNumberFormat="1" applyFont="1" applyFill="1" applyBorder="1" applyAlignment="1">
      <alignment horizontal="center" vertical="center" wrapText="1"/>
    </xf>
    <xf numFmtId="0" fontId="38" fillId="22" borderId="0" xfId="8" applyFont="1" applyFill="1" applyBorder="1" applyAlignment="1">
      <alignment vertical="center"/>
    </xf>
    <xf numFmtId="0" fontId="38" fillId="21" borderId="0" xfId="8" applyFont="1" applyFill="1" applyBorder="1" applyAlignment="1">
      <alignment vertical="center"/>
    </xf>
    <xf numFmtId="0" fontId="39" fillId="23" borderId="32" xfId="8" applyFont="1" applyFill="1" applyBorder="1" applyAlignment="1">
      <alignment horizontal="center" vertical="center"/>
    </xf>
    <xf numFmtId="0" fontId="40" fillId="23" borderId="0" xfId="8" applyNumberFormat="1" applyFont="1" applyFill="1" applyBorder="1" applyAlignment="1">
      <alignment horizontal="center" vertical="center"/>
    </xf>
    <xf numFmtId="0" fontId="39" fillId="21" borderId="32" xfId="8" applyFont="1" applyFill="1" applyBorder="1" applyAlignment="1">
      <alignment horizontal="center" vertical="center"/>
    </xf>
    <xf numFmtId="0" fontId="41" fillId="0" borderId="0" xfId="8" applyNumberFormat="1" applyFont="1" applyFill="1" applyBorder="1" applyAlignment="1">
      <alignment horizontal="center" vertical="center"/>
    </xf>
    <xf numFmtId="0" fontId="41" fillId="0" borderId="0" xfId="8" applyNumberFormat="1" applyFont="1" applyFill="1" applyBorder="1" applyAlignment="1">
      <alignment horizontal="right" vertical="center" wrapText="1"/>
    </xf>
    <xf numFmtId="3" fontId="41" fillId="0" borderId="0" xfId="8" applyNumberFormat="1" applyFont="1" applyFill="1" applyBorder="1" applyAlignment="1">
      <alignment horizontal="center" vertical="center"/>
    </xf>
    <xf numFmtId="0" fontId="42" fillId="0" borderId="0" xfId="8" applyFont="1" applyAlignment="1">
      <alignment horizontal="center" vertical="center"/>
    </xf>
    <xf numFmtId="0" fontId="42" fillId="0" borderId="0" xfId="8" applyFont="1" applyAlignment="1">
      <alignment horizontal="center"/>
    </xf>
    <xf numFmtId="0" fontId="42" fillId="0" borderId="0" xfId="8" applyFont="1"/>
    <xf numFmtId="0" fontId="42" fillId="3" borderId="11" xfId="8" applyFont="1" applyFill="1" applyBorder="1" applyAlignment="1">
      <alignment horizontal="center"/>
    </xf>
    <xf numFmtId="3" fontId="42" fillId="3" borderId="11" xfId="8" applyNumberFormat="1" applyFont="1" applyFill="1" applyBorder="1" applyAlignment="1">
      <alignment horizontal="center"/>
    </xf>
    <xf numFmtId="0" fontId="41" fillId="3" borderId="11" xfId="8" applyNumberFormat="1" applyFont="1" applyFill="1" applyBorder="1" applyAlignment="1">
      <alignment horizontal="center" vertical="center"/>
    </xf>
    <xf numFmtId="0" fontId="43" fillId="0" borderId="0" xfId="8" applyFont="1" applyAlignment="1">
      <alignment horizontal="center"/>
    </xf>
    <xf numFmtId="3" fontId="41" fillId="3" borderId="11" xfId="8" applyNumberFormat="1" applyFont="1" applyFill="1" applyBorder="1" applyAlignment="1">
      <alignment horizontal="center" vertical="center"/>
    </xf>
    <xf numFmtId="164" fontId="10" fillId="0" borderId="0" xfId="0" applyNumberFormat="1" applyFont="1"/>
    <xf numFmtId="3" fontId="4" fillId="6" borderId="8" xfId="0" applyNumberFormat="1" applyFont="1" applyFill="1" applyBorder="1" applyAlignment="1" applyProtection="1">
      <alignment horizontal="center" vertical="center"/>
    </xf>
    <xf numFmtId="3" fontId="4" fillId="6" borderId="10" xfId="0" applyNumberFormat="1" applyFont="1" applyFill="1" applyBorder="1" applyAlignment="1" applyProtection="1">
      <alignment horizontal="center" vertical="center"/>
    </xf>
    <xf numFmtId="3" fontId="4" fillId="6" borderId="7" xfId="0" applyNumberFormat="1" applyFont="1" applyFill="1" applyBorder="1" applyAlignment="1" applyProtection="1">
      <alignment horizontal="center" vertical="center"/>
    </xf>
    <xf numFmtId="0" fontId="11" fillId="2" borderId="0" xfId="2" applyNumberFormat="1" applyFont="1" applyFill="1" applyBorder="1" applyAlignment="1" applyProtection="1">
      <alignment horizontal="right" vertical="top" wrapText="1"/>
    </xf>
    <xf numFmtId="0" fontId="11" fillId="2" borderId="0" xfId="2" applyNumberFormat="1" applyFont="1" applyFill="1" applyBorder="1" applyAlignment="1" applyProtection="1">
      <alignment horizontal="right" vertical="top" wrapText="1"/>
      <protection locked="0"/>
    </xf>
    <xf numFmtId="0" fontId="3" fillId="2" borderId="0" xfId="2" applyNumberFormat="1" applyFont="1" applyFill="1" applyBorder="1" applyAlignment="1" applyProtection="1">
      <alignment horizontal="left" vertical="top" wrapText="1"/>
      <protection locked="0"/>
    </xf>
    <xf numFmtId="0" fontId="11" fillId="2" borderId="0" xfId="3" applyNumberFormat="1" applyFont="1" applyFill="1" applyBorder="1" applyAlignment="1" applyProtection="1">
      <alignment horizontal="right" vertical="top" wrapText="1"/>
    </xf>
    <xf numFmtId="0" fontId="11" fillId="2" borderId="0" xfId="3" applyNumberFormat="1" applyFont="1" applyFill="1" applyBorder="1" applyAlignment="1" applyProtection="1">
      <alignment horizontal="right" vertical="top" wrapText="1"/>
      <protection locked="0"/>
    </xf>
    <xf numFmtId="0" fontId="2" fillId="2" borderId="0" xfId="3" applyNumberFormat="1" applyFont="1" applyFill="1" applyBorder="1" applyAlignment="1" applyProtection="1">
      <alignment horizontal="left" vertical="top" wrapText="1"/>
      <protection locked="0"/>
    </xf>
    <xf numFmtId="0" fontId="23" fillId="0" borderId="0" xfId="4" applyFont="1" applyFill="1" applyBorder="1" applyAlignment="1">
      <alignment horizontal="right" vertical="center" wrapText="1"/>
    </xf>
    <xf numFmtId="0" fontId="23" fillId="0" borderId="21" xfId="4" applyFont="1" applyFill="1" applyBorder="1" applyAlignment="1">
      <alignment horizontal="right" vertical="center" wrapText="1"/>
    </xf>
    <xf numFmtId="0" fontId="24" fillId="16" borderId="22" xfId="5" applyNumberFormat="1" applyFont="1" applyFill="1" applyBorder="1" applyAlignment="1">
      <alignment horizontal="center" vertical="center"/>
    </xf>
    <xf numFmtId="0" fontId="24" fillId="16" borderId="25" xfId="5" applyNumberFormat="1" applyFont="1" applyFill="1" applyBorder="1" applyAlignment="1">
      <alignment horizontal="center" vertical="center"/>
    </xf>
    <xf numFmtId="0" fontId="24" fillId="16" borderId="26" xfId="5" applyNumberFormat="1" applyFont="1" applyFill="1" applyBorder="1" applyAlignment="1">
      <alignment horizontal="center" vertical="center"/>
    </xf>
    <xf numFmtId="0" fontId="25" fillId="16" borderId="23" xfId="5" applyNumberFormat="1" applyFont="1" applyFill="1" applyBorder="1" applyAlignment="1">
      <alignment horizontal="center" vertical="center"/>
    </xf>
    <xf numFmtId="0" fontId="24" fillId="0" borderId="24" xfId="5" applyNumberFormat="1" applyFont="1" applyFill="1" applyBorder="1" applyAlignment="1">
      <alignment horizontal="center" vertical="center"/>
    </xf>
    <xf numFmtId="0" fontId="24" fillId="16" borderId="24" xfId="5" applyNumberFormat="1" applyFont="1" applyFill="1" applyBorder="1" applyAlignment="1">
      <alignment horizontal="center" vertical="center" readingOrder="2"/>
    </xf>
    <xf numFmtId="0" fontId="28" fillId="16" borderId="24" xfId="5" applyNumberFormat="1" applyFont="1" applyFill="1" applyBorder="1" applyAlignment="1">
      <alignment horizontal="center" vertical="center" readingOrder="2"/>
    </xf>
    <xf numFmtId="0" fontId="24" fillId="16" borderId="27" xfId="5" applyNumberFormat="1" applyFont="1" applyFill="1" applyBorder="1" applyAlignment="1">
      <alignment horizontal="center" vertical="center" readingOrder="2"/>
    </xf>
    <xf numFmtId="0" fontId="31" fillId="0" borderId="0" xfId="4" applyFont="1" applyBorder="1" applyAlignment="1">
      <alignment horizontal="center" vertical="center" wrapText="1"/>
    </xf>
    <xf numFmtId="0" fontId="31" fillId="0" borderId="24" xfId="4" applyFont="1" applyBorder="1" applyAlignment="1">
      <alignment horizontal="center" vertical="center" wrapText="1"/>
    </xf>
    <xf numFmtId="0" fontId="31" fillId="0" borderId="30" xfId="4" applyFont="1" applyBorder="1" applyAlignment="1">
      <alignment horizontal="center" vertical="center" wrapText="1"/>
    </xf>
    <xf numFmtId="0" fontId="31" fillId="0" borderId="11" xfId="4" applyFont="1" applyBorder="1" applyAlignment="1">
      <alignment horizontal="center" vertical="center" wrapText="1"/>
    </xf>
    <xf numFmtId="0" fontId="31" fillId="0" borderId="22" xfId="4" applyFont="1" applyBorder="1" applyAlignment="1">
      <alignment horizontal="center" vertical="center" wrapText="1"/>
    </xf>
    <xf numFmtId="0" fontId="32" fillId="0" borderId="0" xfId="4" applyFont="1" applyBorder="1" applyAlignment="1">
      <alignment horizontal="center" vertical="center" wrapText="1"/>
    </xf>
    <xf numFmtId="0" fontId="31" fillId="0" borderId="31" xfId="4" applyFont="1" applyBorder="1" applyAlignment="1">
      <alignment horizontal="center" vertical="center" wrapText="1"/>
    </xf>
    <xf numFmtId="0" fontId="31" fillId="0" borderId="26" xfId="4" applyFont="1" applyBorder="1" applyAlignment="1">
      <alignment horizontal="center" vertical="center" wrapText="1"/>
    </xf>
  </cellXfs>
  <cellStyles count="9">
    <cellStyle name="Comma" xfId="1" builtinId="3"/>
    <cellStyle name="Comma 2" xfId="6"/>
    <cellStyle name="Input 2" xfId="7"/>
    <cellStyle name="Normal" xfId="0" builtinId="0"/>
    <cellStyle name="Normal 2" xfId="2"/>
    <cellStyle name="Normal 3" xfId="3"/>
    <cellStyle name="Normal 4" xfId="4"/>
    <cellStyle name="Normal 5" xfId="5"/>
    <cellStyle name="Normal 6" xfId="8"/>
  </cellStyles>
  <dxfs count="23">
    <dxf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B Nazanin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  <protection locked="0" hidden="0"/>
    </dxf>
    <dxf>
      <border>
        <top style="medium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" formatCode="#,##0"/>
      <protection locked="0" hidden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B Nazanin"/>
        <scheme val="none"/>
      </font>
      <numFmt numFmtId="3" formatCode="#,##0"/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B Nazanin"/>
        <scheme val="none"/>
      </font>
      <numFmt numFmtId="3" formatCode="#,##0"/>
      <fill>
        <patternFill>
          <fgColor indexed="64"/>
          <bgColor rgb="FF92D050"/>
        </patternFill>
      </fill>
      <alignment horizontal="right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B Nazanin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B Nazanin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B Nazanin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B Nazanin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B Nazanin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B Nazanin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B Nazanin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B Nazanin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B Nazanin"/>
        <scheme val="none"/>
      </font>
      <alignment horizontal="left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B Nazanin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  <protection locked="1" hidden="0"/>
    </dxf>
    <dxf>
      <border>
        <top style="medium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B Nazanin"/>
        <scheme val="none"/>
      </font>
      <numFmt numFmtId="3" formatCode="#,##0"/>
      <alignment horizontal="center" vertical="center" textRotation="0" wrapText="0" indent="0" justifyLastLine="0" shrinkToFit="0" readingOrder="0"/>
      <protection locked="0" hidden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B Nazanin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 style="medium">
          <color indexed="64"/>
        </horizontal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11</xdr:col>
      <xdr:colOff>709448</xdr:colOff>
      <xdr:row>3</xdr:row>
      <xdr:rowOff>72259</xdr:rowOff>
    </xdr:to>
    <xdr:pic>
      <xdr:nvPicPr>
        <xdr:cNvPr id="2" name="Picture"/>
        <xdr:cNvPicPr/>
      </xdr:nvPicPr>
      <xdr:blipFill>
        <a:blip xmlns:r="http://schemas.openxmlformats.org/officeDocument/2006/relationships" r:embed="rId1"/>
        <a:srcRect/>
        <a:stretch>
          <a:fillRect r="45652"/>
        </a:stretch>
      </xdr:blipFill>
      <xdr:spPr>
        <a:xfrm>
          <a:off x="11228875027" y="180975"/>
          <a:ext cx="3509798" cy="4342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11</xdr:col>
      <xdr:colOff>709448</xdr:colOff>
      <xdr:row>3</xdr:row>
      <xdr:rowOff>19707</xdr:rowOff>
    </xdr:to>
    <xdr:pic>
      <xdr:nvPicPr>
        <xdr:cNvPr id="2" name="Picture"/>
        <xdr:cNvPicPr/>
      </xdr:nvPicPr>
      <xdr:blipFill>
        <a:blip xmlns:r="http://schemas.openxmlformats.org/officeDocument/2006/relationships" r:embed="rId1"/>
        <a:srcRect/>
        <a:stretch>
          <a:fillRect r="45652"/>
        </a:stretch>
      </xdr:blipFill>
      <xdr:spPr>
        <a:xfrm>
          <a:off x="11229132202" y="209550"/>
          <a:ext cx="3509798" cy="4388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352425</xdr:colOff>
      <xdr:row>0</xdr:row>
      <xdr:rowOff>0</xdr:rowOff>
    </xdr:from>
    <xdr:to>
      <xdr:col>17</xdr:col>
      <xdr:colOff>600075</xdr:colOff>
      <xdr:row>0</xdr:row>
      <xdr:rowOff>819150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688500" y="0"/>
          <a:ext cx="391477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95250</xdr:rowOff>
    </xdr:from>
    <xdr:to>
      <xdr:col>1</xdr:col>
      <xdr:colOff>47625</xdr:colOff>
      <xdr:row>4</xdr:row>
      <xdr:rowOff>9525</xdr:rowOff>
    </xdr:to>
    <xdr:pic>
      <xdr:nvPicPr>
        <xdr:cNvPr id="2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37518800" y="95250"/>
          <a:ext cx="704850" cy="6667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14</xdr:col>
      <xdr:colOff>285750</xdr:colOff>
      <xdr:row>6</xdr:row>
      <xdr:rowOff>228600</xdr:rowOff>
    </xdr:to>
    <xdr:pic>
      <xdr:nvPicPr>
        <xdr:cNvPr id="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560550" y="9525"/>
          <a:ext cx="206692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1289843</xdr:colOff>
      <xdr:row>1</xdr:row>
      <xdr:rowOff>399222</xdr:rowOff>
    </xdr:from>
    <xdr:to>
      <xdr:col>9</xdr:col>
      <xdr:colOff>1513301</xdr:colOff>
      <xdr:row>1</xdr:row>
      <xdr:rowOff>1373978</xdr:rowOff>
    </xdr:to>
    <xdr:sp macro="" textlink="">
      <xdr:nvSpPr>
        <xdr:cNvPr id="3" name="Rectangle 2"/>
        <xdr:cNvSpPr/>
      </xdr:nvSpPr>
      <xdr:spPr>
        <a:xfrm>
          <a:off x="148810249" y="532572"/>
          <a:ext cx="2995233" cy="320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2800" b="0" cap="none" spc="0">
              <a:ln>
                <a:noFill/>
              </a:ln>
              <a:solidFill>
                <a:schemeClr val="tx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صورتحساب</a:t>
          </a:r>
          <a:endParaRPr lang="en-US" sz="3200" b="0" cap="none" spc="0">
            <a:ln>
              <a:noFill/>
            </a:ln>
            <a:solidFill>
              <a:schemeClr val="tx1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1" name="Table1" displayName="Table1" ref="A2:L16" totalsRowShown="0" headerRowDxfId="22" dataDxfId="20" headerRowBorderDxfId="21" tableBorderDxfId="19" totalsRowBorderDxfId="18">
  <autoFilter ref="A2:L16"/>
  <tableColumns count="12">
    <tableColumn id="1" name="ردیف" dataDxfId="17"/>
    <tableColumn id="2" name="نام بانک" dataDxfId="16"/>
    <tableColumn id="3" name="مبلغ واریزی کل" dataDxfId="15"/>
    <tableColumn id="4" name="جابه جایی خودمان" dataDxfId="14"/>
    <tableColumn id="9" name="وام" dataDxfId="13"/>
    <tableColumn id="12" name="نقدی"/>
    <tableColumn id="5" name="کارت به کارت مشتری" dataDxfId="12"/>
    <tableColumn id="6" name="وصول چک مشتری" dataDxfId="11"/>
    <tableColumn id="7" name="پوز (شاپرک)" dataDxfId="10"/>
    <tableColumn id="11" name="جمع واریزی از فروش" dataDxfId="9">
      <calculatedColumnFormula>Table1[[#This Row],[کارت به کارت مشتری]]+Table1[[#This Row],[وصول چک مشتری]]+Table1[[#This Row],[پوز (شاپرک)]]</calculatedColumnFormula>
    </tableColumn>
    <tableColumn id="10" name="برگشت از فروش" dataDxfId="8"/>
    <tableColumn id="8" name="فروش خالص" dataDxfId="7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K17:L20" totalsRowShown="0" headerRowDxfId="6" dataDxfId="4" headerRowBorderDxfId="5" tableBorderDxfId="3" totalsRowBorderDxfId="2">
  <autoFilter ref="K17:L20"/>
  <tableColumns count="2">
    <tableColumn id="2" name="نتیجه گزارش" dataDxfId="1"/>
    <tableColumn id="3" name="مبلغ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38"/>
  <sheetViews>
    <sheetView rightToLeft="1" tabSelected="1" zoomScale="85" zoomScaleNormal="85" workbookViewId="0">
      <selection activeCell="F4" sqref="F4"/>
    </sheetView>
  </sheetViews>
  <sheetFormatPr defaultColWidth="11.5" defaultRowHeight="22.5"/>
  <cols>
    <col min="1" max="1" width="15.375" style="53" bestFit="1" customWidth="1"/>
    <col min="2" max="2" width="12.625" style="57" customWidth="1"/>
    <col min="3" max="3" width="27.625" style="58" customWidth="1"/>
    <col min="4" max="4" width="11" style="58" customWidth="1"/>
    <col min="5" max="5" width="17.625" style="53" customWidth="1"/>
    <col min="6" max="6" width="17.625" style="54" customWidth="1"/>
    <col min="7" max="7" width="14.625" style="53" customWidth="1"/>
    <col min="8" max="8" width="3.5" style="53" hidden="1" customWidth="1"/>
    <col min="9" max="9" width="6.125" style="53" hidden="1" customWidth="1"/>
    <col min="10" max="10" width="8.25" style="54" customWidth="1"/>
    <col min="11" max="11" width="8.5" style="53" hidden="1" customWidth="1"/>
    <col min="12" max="13" width="17.625" style="59" customWidth="1"/>
    <col min="14" max="14" width="20.625" style="55" customWidth="1"/>
    <col min="15" max="15" width="5.5" style="55" customWidth="1"/>
    <col min="16" max="16" width="5.375" style="55" customWidth="1"/>
    <col min="17" max="17" width="6.5" style="55" customWidth="1"/>
    <col min="18" max="18" width="5.625" style="55" hidden="1" customWidth="1"/>
    <col min="19" max="19" width="6.5" style="55" hidden="1" customWidth="1"/>
    <col min="20" max="21" width="7" style="55" hidden="1" customWidth="1"/>
    <col min="22" max="22" width="6.5" style="55" hidden="1" customWidth="1"/>
    <col min="23" max="23" width="5.125" style="55" hidden="1" customWidth="1"/>
    <col min="24" max="24" width="12" style="53" customWidth="1"/>
    <col min="25" max="25" width="5.125" style="53" customWidth="1"/>
    <col min="26" max="26" width="5.625" style="53" customWidth="1"/>
    <col min="27" max="27" width="6" style="53" customWidth="1"/>
    <col min="28" max="28" width="5.125" style="53" customWidth="1"/>
    <col min="29" max="29" width="7.125" style="57" bestFit="1" customWidth="1"/>
    <col min="30" max="30" width="14.125" style="60" bestFit="1" customWidth="1"/>
    <col min="31" max="31" width="7" style="53" bestFit="1" customWidth="1"/>
    <col min="32" max="32" width="6.125" style="53" hidden="1" customWidth="1"/>
    <col min="33" max="33" width="8.625" style="53" hidden="1" customWidth="1"/>
    <col min="34" max="34" width="7.125" style="53" hidden="1" customWidth="1"/>
    <col min="35" max="35" width="5.375" style="53" hidden="1" customWidth="1"/>
    <col min="36" max="36" width="4.625" style="53" hidden="1" customWidth="1"/>
    <col min="37" max="37" width="8.625" style="53" hidden="1" customWidth="1"/>
    <col min="38" max="38" width="6.5" style="53" hidden="1" customWidth="1"/>
    <col min="39" max="39" width="3.625" style="53" hidden="1" customWidth="1"/>
    <col min="40" max="40" width="16.625" style="53" hidden="1" customWidth="1"/>
    <col min="41" max="41" width="10.5" style="53" hidden="1" customWidth="1"/>
    <col min="42" max="42" width="9.125" style="53" hidden="1" customWidth="1"/>
    <col min="43" max="43" width="10.5" style="53" hidden="1" customWidth="1"/>
    <col min="44" max="44" width="10" style="53" hidden="1" customWidth="1"/>
    <col min="45" max="45" width="11.5" style="53" hidden="1" customWidth="1"/>
    <col min="46" max="52" width="11.5" style="53" customWidth="1"/>
    <col min="53" max="53" width="15.875" style="53" bestFit="1" customWidth="1"/>
    <col min="54" max="16384" width="11.5" style="53"/>
  </cols>
  <sheetData>
    <row r="1" spans="1:53" s="52" customFormat="1" ht="77.25" customHeight="1">
      <c r="A1" s="41" t="s">
        <v>33</v>
      </c>
      <c r="B1" s="42" t="s">
        <v>34</v>
      </c>
      <c r="C1" s="43" t="s">
        <v>35</v>
      </c>
      <c r="D1" s="44" t="s">
        <v>36</v>
      </c>
      <c r="E1" s="43" t="s">
        <v>37</v>
      </c>
      <c r="F1" s="45" t="s">
        <v>38</v>
      </c>
      <c r="G1" s="43" t="s">
        <v>39</v>
      </c>
      <c r="H1" s="43" t="s">
        <v>40</v>
      </c>
      <c r="I1" s="43" t="s">
        <v>41</v>
      </c>
      <c r="J1" s="45" t="s">
        <v>42</v>
      </c>
      <c r="K1" s="43" t="s">
        <v>43</v>
      </c>
      <c r="L1" s="46" t="s">
        <v>44</v>
      </c>
      <c r="M1" s="46" t="s">
        <v>45</v>
      </c>
      <c r="N1" s="47" t="s">
        <v>46</v>
      </c>
      <c r="O1" s="47" t="s">
        <v>47</v>
      </c>
      <c r="P1" s="47" t="s">
        <v>48</v>
      </c>
      <c r="Q1" s="47" t="s">
        <v>49</v>
      </c>
      <c r="R1" s="47" t="s">
        <v>50</v>
      </c>
      <c r="S1" s="47" t="s">
        <v>51</v>
      </c>
      <c r="T1" s="47" t="s">
        <v>52</v>
      </c>
      <c r="U1" s="47" t="s">
        <v>53</v>
      </c>
      <c r="V1" s="47" t="s">
        <v>54</v>
      </c>
      <c r="W1" s="47" t="s">
        <v>55</v>
      </c>
      <c r="X1" s="41" t="s">
        <v>56</v>
      </c>
      <c r="Y1" s="41" t="s">
        <v>57</v>
      </c>
      <c r="Z1" s="41" t="s">
        <v>58</v>
      </c>
      <c r="AA1" s="41" t="s">
        <v>59</v>
      </c>
      <c r="AB1" s="41" t="s">
        <v>60</v>
      </c>
      <c r="AC1" s="41" t="s">
        <v>61</v>
      </c>
      <c r="AD1" s="48" t="s">
        <v>62</v>
      </c>
      <c r="AE1" s="41" t="s">
        <v>63</v>
      </c>
      <c r="AF1" s="41" t="s">
        <v>64</v>
      </c>
      <c r="AG1" s="41" t="s">
        <v>65</v>
      </c>
      <c r="AH1" s="49" t="s">
        <v>66</v>
      </c>
      <c r="AI1" s="49" t="s">
        <v>67</v>
      </c>
      <c r="AJ1" s="50" t="s">
        <v>68</v>
      </c>
      <c r="AK1" s="50" t="s">
        <v>69</v>
      </c>
      <c r="AL1" s="50" t="s">
        <v>70</v>
      </c>
      <c r="AM1" s="50" t="s">
        <v>71</v>
      </c>
      <c r="AN1" s="50" t="s">
        <v>72</v>
      </c>
      <c r="AO1" s="41" t="s">
        <v>73</v>
      </c>
      <c r="AP1" s="41" t="s">
        <v>74</v>
      </c>
      <c r="AQ1" s="41" t="s">
        <v>75</v>
      </c>
      <c r="AR1" s="41" t="s">
        <v>76</v>
      </c>
      <c r="AS1" s="41" t="s">
        <v>77</v>
      </c>
      <c r="AT1" s="51"/>
      <c r="AU1" s="51"/>
      <c r="AV1" s="51"/>
      <c r="AW1" s="51"/>
      <c r="AX1" s="51"/>
      <c r="AY1" s="51"/>
      <c r="AZ1" s="51"/>
    </row>
    <row r="2" spans="1:53">
      <c r="A2" s="53">
        <v>40407180001</v>
      </c>
      <c r="B2" s="57">
        <v>1</v>
      </c>
      <c r="C2" s="58" t="s">
        <v>78</v>
      </c>
      <c r="D2" s="58">
        <v>5</v>
      </c>
      <c r="L2" s="59" t="s">
        <v>267</v>
      </c>
      <c r="M2" s="59" t="s">
        <v>267</v>
      </c>
      <c r="N2" s="55" t="s">
        <v>268</v>
      </c>
      <c r="O2" s="55">
        <v>1</v>
      </c>
      <c r="P2" s="55">
        <v>1627</v>
      </c>
      <c r="Q2" s="55">
        <v>0</v>
      </c>
      <c r="X2" s="53" t="s">
        <v>377</v>
      </c>
      <c r="Y2" s="53">
        <v>2</v>
      </c>
      <c r="Z2" s="53">
        <v>1</v>
      </c>
      <c r="AA2" s="53">
        <v>1</v>
      </c>
      <c r="AB2" s="53">
        <v>1</v>
      </c>
      <c r="AC2" s="57">
        <v>12</v>
      </c>
      <c r="AD2" s="60">
        <v>5300000</v>
      </c>
      <c r="BA2" s="56">
        <f t="shared" ref="BA2:BA63" si="0">AD2*AC2+(AD2*AC2*Q2%)</f>
        <v>63600000</v>
      </c>
    </row>
    <row r="3" spans="1:53">
      <c r="A3" s="53">
        <v>40407180001</v>
      </c>
      <c r="B3" s="57">
        <v>1</v>
      </c>
      <c r="C3" s="58" t="s">
        <v>78</v>
      </c>
      <c r="D3" s="58">
        <v>5</v>
      </c>
      <c r="L3" s="59" t="s">
        <v>267</v>
      </c>
      <c r="M3" s="59" t="s">
        <v>267</v>
      </c>
      <c r="N3" s="55" t="s">
        <v>268</v>
      </c>
      <c r="O3" s="55">
        <v>1</v>
      </c>
      <c r="P3" s="55">
        <v>1627</v>
      </c>
      <c r="Q3" s="55">
        <v>0</v>
      </c>
      <c r="X3" s="53" t="s">
        <v>377</v>
      </c>
      <c r="Y3" s="53">
        <v>2</v>
      </c>
      <c r="Z3" s="53">
        <v>1</v>
      </c>
      <c r="AA3" s="53">
        <v>1</v>
      </c>
      <c r="AB3" s="53">
        <v>1</v>
      </c>
      <c r="AC3" s="57">
        <v>10</v>
      </c>
      <c r="AD3" s="60">
        <v>1090000</v>
      </c>
      <c r="BA3" s="56">
        <f t="shared" si="0"/>
        <v>10900000</v>
      </c>
    </row>
    <row r="4" spans="1:53">
      <c r="A4" s="53">
        <v>40407180001</v>
      </c>
      <c r="B4" s="57">
        <v>1</v>
      </c>
      <c r="C4" s="58" t="s">
        <v>78</v>
      </c>
      <c r="D4" s="58">
        <v>5</v>
      </c>
      <c r="L4" s="59" t="s">
        <v>269</v>
      </c>
      <c r="M4" s="59" t="s">
        <v>269</v>
      </c>
      <c r="N4" s="55" t="s">
        <v>270</v>
      </c>
      <c r="O4" s="55">
        <v>1</v>
      </c>
      <c r="P4" s="55">
        <v>1627</v>
      </c>
      <c r="Q4" s="55">
        <v>10</v>
      </c>
      <c r="X4" s="53" t="s">
        <v>377</v>
      </c>
      <c r="Y4" s="53">
        <v>2</v>
      </c>
      <c r="Z4" s="53">
        <v>1</v>
      </c>
      <c r="AA4" s="53">
        <v>1</v>
      </c>
      <c r="AB4" s="53">
        <v>1</v>
      </c>
      <c r="AC4" s="57">
        <v>30</v>
      </c>
      <c r="AD4" s="60">
        <v>850000</v>
      </c>
      <c r="BA4" s="56">
        <f t="shared" si="0"/>
        <v>28050000</v>
      </c>
    </row>
    <row r="5" spans="1:53">
      <c r="A5" s="53">
        <v>40407180001</v>
      </c>
      <c r="B5" s="57">
        <v>1</v>
      </c>
      <c r="C5" s="58" t="s">
        <v>78</v>
      </c>
      <c r="D5" s="58">
        <v>5</v>
      </c>
      <c r="L5" s="59" t="s">
        <v>271</v>
      </c>
      <c r="M5" s="59" t="s">
        <v>271</v>
      </c>
      <c r="N5" s="55" t="s">
        <v>272</v>
      </c>
      <c r="O5" s="55">
        <v>1</v>
      </c>
      <c r="P5" s="55">
        <v>1627</v>
      </c>
      <c r="Q5" s="55">
        <v>0</v>
      </c>
      <c r="X5" s="53" t="s">
        <v>377</v>
      </c>
      <c r="Y5" s="53">
        <v>2</v>
      </c>
      <c r="Z5" s="53">
        <v>1</v>
      </c>
      <c r="AA5" s="53">
        <v>1</v>
      </c>
      <c r="AB5" s="53">
        <v>1</v>
      </c>
      <c r="AC5" s="57">
        <v>5</v>
      </c>
      <c r="AD5" s="60">
        <v>29000000</v>
      </c>
      <c r="BA5" s="56">
        <f t="shared" si="0"/>
        <v>145000000</v>
      </c>
    </row>
    <row r="6" spans="1:53">
      <c r="A6" s="53">
        <v>40407180001</v>
      </c>
      <c r="B6" s="57">
        <v>1</v>
      </c>
      <c r="C6" s="58" t="s">
        <v>78</v>
      </c>
      <c r="D6" s="58">
        <v>5</v>
      </c>
      <c r="L6" s="59" t="s">
        <v>271</v>
      </c>
      <c r="M6" s="59" t="s">
        <v>271</v>
      </c>
      <c r="N6" s="55" t="s">
        <v>272</v>
      </c>
      <c r="O6" s="55">
        <v>1</v>
      </c>
      <c r="P6" s="55">
        <v>1627</v>
      </c>
      <c r="Q6" s="55">
        <v>0</v>
      </c>
      <c r="X6" s="53" t="s">
        <v>377</v>
      </c>
      <c r="Y6" s="53">
        <v>2</v>
      </c>
      <c r="Z6" s="53">
        <v>1</v>
      </c>
      <c r="AA6" s="53">
        <v>1</v>
      </c>
      <c r="AB6" s="53">
        <v>1</v>
      </c>
      <c r="AC6" s="57">
        <v>10</v>
      </c>
      <c r="AD6" s="60">
        <v>26500000</v>
      </c>
      <c r="BA6" s="56">
        <f t="shared" si="0"/>
        <v>265000000</v>
      </c>
    </row>
    <row r="7" spans="1:53">
      <c r="A7" s="53">
        <v>40407180001</v>
      </c>
      <c r="B7" s="57">
        <v>1</v>
      </c>
      <c r="C7" s="58" t="s">
        <v>78</v>
      </c>
      <c r="D7" s="58">
        <v>5</v>
      </c>
      <c r="L7" s="59" t="s">
        <v>273</v>
      </c>
      <c r="M7" s="59" t="s">
        <v>273</v>
      </c>
      <c r="N7" s="55" t="s">
        <v>274</v>
      </c>
      <c r="O7" s="55">
        <v>1</v>
      </c>
      <c r="P7" s="55">
        <v>1627</v>
      </c>
      <c r="Q7" s="55">
        <v>10</v>
      </c>
      <c r="X7" s="53" t="s">
        <v>377</v>
      </c>
      <c r="Y7" s="53">
        <v>2</v>
      </c>
      <c r="Z7" s="53">
        <v>1</v>
      </c>
      <c r="AA7" s="53">
        <v>1</v>
      </c>
      <c r="AB7" s="53">
        <v>1</v>
      </c>
      <c r="AC7" s="57">
        <v>1000</v>
      </c>
      <c r="AD7" s="60">
        <v>467000</v>
      </c>
      <c r="BA7" s="56">
        <f t="shared" si="0"/>
        <v>513700000</v>
      </c>
    </row>
    <row r="8" spans="1:53">
      <c r="A8" s="53">
        <v>40407180001</v>
      </c>
      <c r="B8" s="57">
        <v>1</v>
      </c>
      <c r="C8" s="58" t="s">
        <v>78</v>
      </c>
      <c r="D8" s="58">
        <v>5</v>
      </c>
      <c r="L8" s="59" t="s">
        <v>275</v>
      </c>
      <c r="M8" s="59" t="s">
        <v>275</v>
      </c>
      <c r="N8" s="55" t="s">
        <v>276</v>
      </c>
      <c r="O8" s="55">
        <v>1</v>
      </c>
      <c r="P8" s="55">
        <v>1627</v>
      </c>
      <c r="Q8" s="55">
        <v>0</v>
      </c>
      <c r="X8" s="53" t="s">
        <v>377</v>
      </c>
      <c r="Y8" s="53">
        <v>2</v>
      </c>
      <c r="Z8" s="53">
        <v>1</v>
      </c>
      <c r="AA8" s="53">
        <v>1</v>
      </c>
      <c r="AB8" s="53">
        <v>1</v>
      </c>
      <c r="AC8" s="57">
        <v>30</v>
      </c>
      <c r="AD8" s="60">
        <v>2610000</v>
      </c>
      <c r="BA8" s="56">
        <f t="shared" si="0"/>
        <v>78300000</v>
      </c>
    </row>
    <row r="9" spans="1:53">
      <c r="A9" s="53">
        <v>40407180001</v>
      </c>
      <c r="B9" s="57">
        <v>1</v>
      </c>
      <c r="C9" s="58" t="s">
        <v>78</v>
      </c>
      <c r="D9" s="58">
        <v>5</v>
      </c>
      <c r="L9" s="59" t="s">
        <v>277</v>
      </c>
      <c r="M9" s="59" t="s">
        <v>277</v>
      </c>
      <c r="N9" s="55" t="s">
        <v>278</v>
      </c>
      <c r="O9" s="55">
        <v>1</v>
      </c>
      <c r="P9" s="55">
        <v>1627</v>
      </c>
      <c r="Q9" s="55">
        <v>0</v>
      </c>
      <c r="X9" s="53" t="s">
        <v>377</v>
      </c>
      <c r="Y9" s="53">
        <v>2</v>
      </c>
      <c r="Z9" s="53">
        <v>1</v>
      </c>
      <c r="AA9" s="53">
        <v>1</v>
      </c>
      <c r="AB9" s="53">
        <v>1</v>
      </c>
      <c r="AC9" s="57">
        <v>3</v>
      </c>
      <c r="AD9" s="60">
        <v>4600000</v>
      </c>
      <c r="BA9" s="56">
        <f t="shared" si="0"/>
        <v>13800000</v>
      </c>
    </row>
    <row r="10" spans="1:53">
      <c r="A10" s="53">
        <v>40407180001</v>
      </c>
      <c r="B10" s="57">
        <v>1</v>
      </c>
      <c r="C10" s="58" t="s">
        <v>78</v>
      </c>
      <c r="D10" s="58">
        <v>5</v>
      </c>
      <c r="L10" s="59" t="s">
        <v>279</v>
      </c>
      <c r="M10" s="59" t="s">
        <v>279</v>
      </c>
      <c r="N10" s="55" t="s">
        <v>280</v>
      </c>
      <c r="O10" s="55">
        <v>1</v>
      </c>
      <c r="P10" s="55">
        <v>1627</v>
      </c>
      <c r="Q10" s="55">
        <v>10</v>
      </c>
      <c r="X10" s="53" t="s">
        <v>377</v>
      </c>
      <c r="Y10" s="53">
        <v>2</v>
      </c>
      <c r="Z10" s="53">
        <v>1</v>
      </c>
      <c r="AA10" s="53">
        <v>1</v>
      </c>
      <c r="AB10" s="53">
        <v>1</v>
      </c>
      <c r="AC10" s="57">
        <v>10</v>
      </c>
      <c r="AD10" s="60">
        <v>605000</v>
      </c>
      <c r="BA10" s="56">
        <f t="shared" si="0"/>
        <v>6655000</v>
      </c>
    </row>
    <row r="11" spans="1:53">
      <c r="A11" s="53">
        <v>40407180001</v>
      </c>
      <c r="B11" s="57">
        <v>1</v>
      </c>
      <c r="C11" s="58" t="s">
        <v>78</v>
      </c>
      <c r="D11" s="58">
        <v>5</v>
      </c>
      <c r="L11" s="59" t="s">
        <v>281</v>
      </c>
      <c r="M11" s="59" t="s">
        <v>281</v>
      </c>
      <c r="N11" s="55" t="s">
        <v>282</v>
      </c>
      <c r="O11" s="55">
        <v>1</v>
      </c>
      <c r="P11" s="55">
        <v>1627</v>
      </c>
      <c r="Q11" s="55">
        <v>0</v>
      </c>
      <c r="X11" s="53" t="s">
        <v>377</v>
      </c>
      <c r="Y11" s="53">
        <v>2</v>
      </c>
      <c r="Z11" s="53">
        <v>1</v>
      </c>
      <c r="AA11" s="53">
        <v>1</v>
      </c>
      <c r="AB11" s="53">
        <v>1</v>
      </c>
      <c r="AC11" s="57">
        <v>5</v>
      </c>
      <c r="AD11" s="60">
        <v>3860000</v>
      </c>
      <c r="BA11" s="56">
        <f t="shared" si="0"/>
        <v>19300000</v>
      </c>
    </row>
    <row r="12" spans="1:53">
      <c r="A12" s="53">
        <v>40407180002</v>
      </c>
      <c r="B12" s="57">
        <v>1</v>
      </c>
      <c r="C12" s="58" t="s">
        <v>78</v>
      </c>
      <c r="D12" s="58">
        <v>5</v>
      </c>
      <c r="L12" s="59" t="s">
        <v>281</v>
      </c>
      <c r="M12" s="59" t="s">
        <v>281</v>
      </c>
      <c r="N12" s="55" t="s">
        <v>282</v>
      </c>
      <c r="O12" s="55">
        <v>1</v>
      </c>
      <c r="P12" s="55">
        <v>1627</v>
      </c>
      <c r="Q12" s="55">
        <v>0</v>
      </c>
      <c r="X12" s="53" t="s">
        <v>377</v>
      </c>
      <c r="Y12" s="53">
        <v>2</v>
      </c>
      <c r="Z12" s="53">
        <v>1</v>
      </c>
      <c r="AA12" s="53">
        <v>1</v>
      </c>
      <c r="AB12" s="53">
        <v>1</v>
      </c>
      <c r="AC12" s="57">
        <v>5</v>
      </c>
      <c r="AD12" s="60">
        <v>2130000</v>
      </c>
      <c r="BA12" s="56">
        <f t="shared" si="0"/>
        <v>10650000</v>
      </c>
    </row>
    <row r="13" spans="1:53">
      <c r="A13" s="53">
        <v>40407180002</v>
      </c>
      <c r="B13" s="57">
        <v>1</v>
      </c>
      <c r="C13" s="58" t="s">
        <v>78</v>
      </c>
      <c r="D13" s="58">
        <v>5</v>
      </c>
      <c r="L13" s="59" t="s">
        <v>283</v>
      </c>
      <c r="M13" s="59" t="s">
        <v>283</v>
      </c>
      <c r="N13" s="55" t="s">
        <v>284</v>
      </c>
      <c r="O13" s="55">
        <v>1</v>
      </c>
      <c r="P13" s="55">
        <v>1627</v>
      </c>
      <c r="Q13" s="55">
        <v>0</v>
      </c>
      <c r="X13" s="53" t="s">
        <v>377</v>
      </c>
      <c r="Y13" s="53">
        <v>2</v>
      </c>
      <c r="Z13" s="53">
        <v>1</v>
      </c>
      <c r="AA13" s="53">
        <v>1</v>
      </c>
      <c r="AB13" s="53">
        <v>1</v>
      </c>
      <c r="AC13" s="57">
        <v>12</v>
      </c>
      <c r="AD13" s="60">
        <v>863000</v>
      </c>
      <c r="BA13" s="56">
        <f t="shared" si="0"/>
        <v>10356000</v>
      </c>
    </row>
    <row r="14" spans="1:53">
      <c r="A14" s="53">
        <v>40407180002</v>
      </c>
      <c r="B14" s="57">
        <v>1</v>
      </c>
      <c r="C14" s="58" t="s">
        <v>78</v>
      </c>
      <c r="D14" s="58">
        <v>5</v>
      </c>
      <c r="L14" s="59" t="s">
        <v>285</v>
      </c>
      <c r="M14" s="59" t="s">
        <v>285</v>
      </c>
      <c r="N14" s="55" t="s">
        <v>286</v>
      </c>
      <c r="O14" s="55">
        <v>1</v>
      </c>
      <c r="P14" s="55">
        <v>1627</v>
      </c>
      <c r="Q14" s="55">
        <v>10</v>
      </c>
      <c r="X14" s="53" t="s">
        <v>377</v>
      </c>
      <c r="Y14" s="53">
        <v>2</v>
      </c>
      <c r="Z14" s="53">
        <v>1</v>
      </c>
      <c r="AA14" s="53">
        <v>1</v>
      </c>
      <c r="AB14" s="53">
        <v>1</v>
      </c>
      <c r="AC14" s="57">
        <v>24</v>
      </c>
      <c r="AD14" s="60">
        <v>857000</v>
      </c>
      <c r="BA14" s="56">
        <f t="shared" si="0"/>
        <v>22624800</v>
      </c>
    </row>
    <row r="15" spans="1:53">
      <c r="A15" s="53">
        <v>40407180002</v>
      </c>
      <c r="B15" s="57">
        <v>1</v>
      </c>
      <c r="C15" s="58" t="s">
        <v>78</v>
      </c>
      <c r="D15" s="58">
        <v>5</v>
      </c>
      <c r="L15" s="59" t="s">
        <v>287</v>
      </c>
      <c r="M15" s="59" t="s">
        <v>287</v>
      </c>
      <c r="N15" s="55" t="s">
        <v>288</v>
      </c>
      <c r="O15" s="55">
        <v>1</v>
      </c>
      <c r="P15" s="55">
        <v>1627</v>
      </c>
      <c r="Q15" s="55">
        <v>10</v>
      </c>
      <c r="X15" s="53" t="s">
        <v>377</v>
      </c>
      <c r="Y15" s="53">
        <v>2</v>
      </c>
      <c r="Z15" s="53">
        <v>1</v>
      </c>
      <c r="AA15" s="53">
        <v>1</v>
      </c>
      <c r="AB15" s="53">
        <v>1</v>
      </c>
      <c r="AC15" s="57">
        <v>12</v>
      </c>
      <c r="AD15" s="60">
        <v>260000</v>
      </c>
      <c r="BA15" s="56">
        <f t="shared" si="0"/>
        <v>3432000</v>
      </c>
    </row>
    <row r="16" spans="1:53">
      <c r="A16" s="53">
        <v>40407180002</v>
      </c>
      <c r="B16" s="57">
        <v>1</v>
      </c>
      <c r="C16" s="58" t="s">
        <v>78</v>
      </c>
      <c r="D16" s="58">
        <v>5</v>
      </c>
      <c r="L16" s="59" t="s">
        <v>289</v>
      </c>
      <c r="M16" s="59" t="s">
        <v>289</v>
      </c>
      <c r="N16" s="55" t="s">
        <v>290</v>
      </c>
      <c r="O16" s="55">
        <v>1</v>
      </c>
      <c r="P16" s="55">
        <v>1627</v>
      </c>
      <c r="Q16" s="55">
        <v>10</v>
      </c>
      <c r="X16" s="53" t="s">
        <v>377</v>
      </c>
      <c r="Y16" s="53">
        <v>2</v>
      </c>
      <c r="Z16" s="53">
        <v>1</v>
      </c>
      <c r="AA16" s="53">
        <v>1</v>
      </c>
      <c r="AB16" s="53">
        <v>1</v>
      </c>
      <c r="AC16" s="57">
        <v>1</v>
      </c>
      <c r="AD16" s="60">
        <v>5800000</v>
      </c>
      <c r="BA16" s="56">
        <f t="shared" si="0"/>
        <v>6380000</v>
      </c>
    </row>
    <row r="17" spans="1:53">
      <c r="A17" s="53">
        <v>40407180002</v>
      </c>
      <c r="B17" s="57">
        <v>1</v>
      </c>
      <c r="C17" s="58" t="s">
        <v>78</v>
      </c>
      <c r="D17" s="58">
        <v>5</v>
      </c>
      <c r="L17" s="59" t="s">
        <v>289</v>
      </c>
      <c r="M17" s="59" t="s">
        <v>289</v>
      </c>
      <c r="N17" s="55" t="s">
        <v>290</v>
      </c>
      <c r="O17" s="55">
        <v>1</v>
      </c>
      <c r="P17" s="55">
        <v>1627</v>
      </c>
      <c r="Q17" s="55">
        <v>10</v>
      </c>
      <c r="X17" s="53" t="s">
        <v>377</v>
      </c>
      <c r="Y17" s="53">
        <v>2</v>
      </c>
      <c r="Z17" s="53">
        <v>1</v>
      </c>
      <c r="AA17" s="53">
        <v>1</v>
      </c>
      <c r="AB17" s="53">
        <v>1</v>
      </c>
      <c r="AC17" s="57">
        <v>1</v>
      </c>
      <c r="AD17" s="60">
        <v>5700000</v>
      </c>
      <c r="BA17" s="56">
        <f t="shared" si="0"/>
        <v>6270000</v>
      </c>
    </row>
    <row r="18" spans="1:53">
      <c r="A18" s="53">
        <v>40407180002</v>
      </c>
      <c r="B18" s="57">
        <v>1</v>
      </c>
      <c r="C18" s="58" t="s">
        <v>78</v>
      </c>
      <c r="D18" s="58">
        <v>5</v>
      </c>
      <c r="L18" s="59" t="s">
        <v>289</v>
      </c>
      <c r="M18" s="59" t="s">
        <v>289</v>
      </c>
      <c r="N18" s="55" t="s">
        <v>290</v>
      </c>
      <c r="O18" s="55">
        <v>1</v>
      </c>
      <c r="P18" s="55">
        <v>1627</v>
      </c>
      <c r="Q18" s="55">
        <v>10</v>
      </c>
      <c r="X18" s="53" t="s">
        <v>377</v>
      </c>
      <c r="Y18" s="53">
        <v>2</v>
      </c>
      <c r="Z18" s="53">
        <v>1</v>
      </c>
      <c r="AA18" s="53">
        <v>1</v>
      </c>
      <c r="AB18" s="53">
        <v>1</v>
      </c>
      <c r="AC18" s="57">
        <v>1</v>
      </c>
      <c r="AD18" s="60">
        <v>7580000</v>
      </c>
      <c r="BA18" s="56">
        <f t="shared" si="0"/>
        <v>8338000</v>
      </c>
    </row>
    <row r="19" spans="1:53">
      <c r="A19" s="53">
        <v>40407180002</v>
      </c>
      <c r="B19" s="57">
        <v>1</v>
      </c>
      <c r="C19" s="58" t="s">
        <v>78</v>
      </c>
      <c r="D19" s="58">
        <v>5</v>
      </c>
      <c r="L19" s="59" t="s">
        <v>291</v>
      </c>
      <c r="M19" s="59" t="s">
        <v>291</v>
      </c>
      <c r="N19" s="55" t="s">
        <v>292</v>
      </c>
      <c r="O19" s="55">
        <v>1</v>
      </c>
      <c r="P19" s="55">
        <v>1627</v>
      </c>
      <c r="Q19" s="55">
        <v>10</v>
      </c>
      <c r="X19" s="53" t="s">
        <v>377</v>
      </c>
      <c r="Y19" s="53">
        <v>2</v>
      </c>
      <c r="Z19" s="53">
        <v>1</v>
      </c>
      <c r="AA19" s="53">
        <v>1</v>
      </c>
      <c r="AB19" s="53">
        <v>1</v>
      </c>
      <c r="AC19" s="57">
        <v>1</v>
      </c>
      <c r="AD19" s="60">
        <v>5250000</v>
      </c>
      <c r="BA19" s="56">
        <f t="shared" si="0"/>
        <v>5775000</v>
      </c>
    </row>
    <row r="20" spans="1:53">
      <c r="A20" s="53">
        <v>40407180002</v>
      </c>
      <c r="B20" s="57">
        <v>1</v>
      </c>
      <c r="C20" s="58" t="s">
        <v>78</v>
      </c>
      <c r="D20" s="58">
        <v>5</v>
      </c>
      <c r="L20" s="59" t="s">
        <v>289</v>
      </c>
      <c r="M20" s="59" t="s">
        <v>289</v>
      </c>
      <c r="N20" s="55" t="s">
        <v>290</v>
      </c>
      <c r="O20" s="55">
        <v>1</v>
      </c>
      <c r="P20" s="55">
        <v>1627</v>
      </c>
      <c r="Q20" s="55">
        <v>10</v>
      </c>
      <c r="X20" s="53" t="s">
        <v>377</v>
      </c>
      <c r="Y20" s="53">
        <v>2</v>
      </c>
      <c r="Z20" s="53">
        <v>1</v>
      </c>
      <c r="AA20" s="53">
        <v>1</v>
      </c>
      <c r="AB20" s="53">
        <v>1</v>
      </c>
      <c r="AC20" s="57">
        <v>1</v>
      </c>
      <c r="AD20" s="60">
        <v>5360000</v>
      </c>
      <c r="BA20" s="56">
        <f t="shared" si="0"/>
        <v>5896000</v>
      </c>
    </row>
    <row r="21" spans="1:53">
      <c r="A21" s="53">
        <v>40407180002</v>
      </c>
      <c r="B21" s="57">
        <v>1</v>
      </c>
      <c r="C21" s="58" t="s">
        <v>78</v>
      </c>
      <c r="D21" s="58">
        <v>5</v>
      </c>
      <c r="L21" s="59" t="s">
        <v>293</v>
      </c>
      <c r="M21" s="59" t="s">
        <v>293</v>
      </c>
      <c r="N21" s="55" t="s">
        <v>294</v>
      </c>
      <c r="O21" s="55">
        <v>1</v>
      </c>
      <c r="P21" s="55">
        <v>1627</v>
      </c>
      <c r="Q21" s="55">
        <v>10</v>
      </c>
      <c r="X21" s="53" t="s">
        <v>377</v>
      </c>
      <c r="Y21" s="53">
        <v>2</v>
      </c>
      <c r="Z21" s="53">
        <v>1</v>
      </c>
      <c r="AA21" s="53">
        <v>1</v>
      </c>
      <c r="AB21" s="53">
        <v>1</v>
      </c>
      <c r="AC21" s="57">
        <v>15</v>
      </c>
      <c r="AD21" s="60">
        <v>1312000</v>
      </c>
      <c r="BA21" s="56">
        <f t="shared" si="0"/>
        <v>21648000</v>
      </c>
    </row>
    <row r="22" spans="1:53">
      <c r="A22" s="53">
        <v>40407180003</v>
      </c>
      <c r="B22" s="57">
        <v>1</v>
      </c>
      <c r="C22" s="58" t="s">
        <v>78</v>
      </c>
      <c r="D22" s="58">
        <v>5</v>
      </c>
      <c r="L22" s="59" t="s">
        <v>293</v>
      </c>
      <c r="M22" s="59" t="s">
        <v>293</v>
      </c>
      <c r="N22" s="55" t="s">
        <v>294</v>
      </c>
      <c r="O22" s="55">
        <v>1</v>
      </c>
      <c r="P22" s="55">
        <v>1627</v>
      </c>
      <c r="Q22" s="55">
        <v>10</v>
      </c>
      <c r="X22" s="53" t="s">
        <v>377</v>
      </c>
      <c r="Y22" s="53">
        <v>2</v>
      </c>
      <c r="Z22" s="53">
        <v>1</v>
      </c>
      <c r="AA22" s="53">
        <v>1</v>
      </c>
      <c r="AB22" s="53">
        <v>1</v>
      </c>
      <c r="AC22" s="57">
        <v>4</v>
      </c>
      <c r="AD22" s="60">
        <v>3130000</v>
      </c>
      <c r="BA22" s="56">
        <f t="shared" si="0"/>
        <v>13772000</v>
      </c>
    </row>
    <row r="23" spans="1:53">
      <c r="A23" s="53">
        <v>40407180003</v>
      </c>
      <c r="B23" s="57">
        <v>1</v>
      </c>
      <c r="C23" s="58" t="s">
        <v>78</v>
      </c>
      <c r="D23" s="58">
        <v>5</v>
      </c>
      <c r="L23" s="59" t="s">
        <v>293</v>
      </c>
      <c r="M23" s="59" t="s">
        <v>293</v>
      </c>
      <c r="N23" s="55" t="s">
        <v>294</v>
      </c>
      <c r="O23" s="55">
        <v>1</v>
      </c>
      <c r="P23" s="55">
        <v>1627</v>
      </c>
      <c r="Q23" s="55">
        <v>10</v>
      </c>
      <c r="X23" s="53" t="s">
        <v>377</v>
      </c>
      <c r="Y23" s="53">
        <v>2</v>
      </c>
      <c r="Z23" s="53">
        <v>1</v>
      </c>
      <c r="AA23" s="53">
        <v>1</v>
      </c>
      <c r="AB23" s="53">
        <v>1</v>
      </c>
      <c r="AC23" s="57">
        <v>8</v>
      </c>
      <c r="AD23" s="60">
        <v>3230000</v>
      </c>
      <c r="BA23" s="56">
        <f t="shared" si="0"/>
        <v>28424000</v>
      </c>
    </row>
    <row r="24" spans="1:53">
      <c r="A24" s="53">
        <v>40407180003</v>
      </c>
      <c r="B24" s="57">
        <v>1</v>
      </c>
      <c r="C24" s="58" t="s">
        <v>78</v>
      </c>
      <c r="D24" s="58">
        <v>5</v>
      </c>
      <c r="L24" s="59" t="s">
        <v>295</v>
      </c>
      <c r="M24" s="59" t="s">
        <v>295</v>
      </c>
      <c r="N24" s="55" t="s">
        <v>296</v>
      </c>
      <c r="O24" s="55">
        <v>1</v>
      </c>
      <c r="P24" s="55">
        <v>1627</v>
      </c>
      <c r="Q24" s="55">
        <v>10</v>
      </c>
      <c r="X24" s="53" t="s">
        <v>377</v>
      </c>
      <c r="Y24" s="53">
        <v>2</v>
      </c>
      <c r="Z24" s="53">
        <v>1</v>
      </c>
      <c r="AA24" s="53">
        <v>1</v>
      </c>
      <c r="AB24" s="53">
        <v>1</v>
      </c>
      <c r="AC24" s="57">
        <v>4</v>
      </c>
      <c r="AD24" s="60">
        <v>3100000</v>
      </c>
      <c r="BA24" s="56">
        <f t="shared" si="0"/>
        <v>13640000</v>
      </c>
    </row>
    <row r="25" spans="1:53">
      <c r="A25" s="53">
        <v>40407180003</v>
      </c>
      <c r="B25" s="57">
        <v>1</v>
      </c>
      <c r="C25" s="58" t="s">
        <v>78</v>
      </c>
      <c r="D25" s="58">
        <v>5</v>
      </c>
      <c r="L25" s="59" t="s">
        <v>295</v>
      </c>
      <c r="M25" s="59" t="s">
        <v>295</v>
      </c>
      <c r="N25" s="55" t="s">
        <v>296</v>
      </c>
      <c r="O25" s="55">
        <v>1</v>
      </c>
      <c r="P25" s="55">
        <v>1627</v>
      </c>
      <c r="Q25" s="55">
        <v>10</v>
      </c>
      <c r="X25" s="53" t="s">
        <v>377</v>
      </c>
      <c r="Y25" s="53">
        <v>2</v>
      </c>
      <c r="Z25" s="53">
        <v>1</v>
      </c>
      <c r="AA25" s="53">
        <v>1</v>
      </c>
      <c r="AB25" s="53">
        <v>1</v>
      </c>
      <c r="AC25" s="57">
        <v>4</v>
      </c>
      <c r="AD25" s="60">
        <v>2850000</v>
      </c>
      <c r="BA25" s="56">
        <f t="shared" si="0"/>
        <v>12540000</v>
      </c>
    </row>
    <row r="26" spans="1:53">
      <c r="A26" s="53">
        <v>40407180003</v>
      </c>
      <c r="B26" s="57">
        <v>1</v>
      </c>
      <c r="C26" s="58" t="s">
        <v>78</v>
      </c>
      <c r="D26" s="58">
        <v>5</v>
      </c>
      <c r="L26" s="59" t="s">
        <v>295</v>
      </c>
      <c r="M26" s="59" t="s">
        <v>295</v>
      </c>
      <c r="N26" s="55" t="s">
        <v>296</v>
      </c>
      <c r="O26" s="55">
        <v>1</v>
      </c>
      <c r="P26" s="55">
        <v>1627</v>
      </c>
      <c r="Q26" s="55">
        <v>10</v>
      </c>
      <c r="X26" s="53" t="s">
        <v>377</v>
      </c>
      <c r="Y26" s="53">
        <v>2</v>
      </c>
      <c r="Z26" s="53">
        <v>1</v>
      </c>
      <c r="AA26" s="53">
        <v>1</v>
      </c>
      <c r="AB26" s="53">
        <v>1</v>
      </c>
      <c r="AC26" s="57">
        <v>4</v>
      </c>
      <c r="AD26" s="60">
        <v>2305000</v>
      </c>
      <c r="BA26" s="56">
        <f t="shared" si="0"/>
        <v>10142000</v>
      </c>
    </row>
    <row r="27" spans="1:53">
      <c r="A27" s="53">
        <v>40407180003</v>
      </c>
      <c r="B27" s="57">
        <v>1</v>
      </c>
      <c r="C27" s="58" t="s">
        <v>78</v>
      </c>
      <c r="D27" s="58">
        <v>5</v>
      </c>
      <c r="L27" s="59" t="s">
        <v>297</v>
      </c>
      <c r="M27" s="59" t="s">
        <v>297</v>
      </c>
      <c r="N27" s="55" t="s">
        <v>298</v>
      </c>
      <c r="O27" s="55">
        <v>1</v>
      </c>
      <c r="P27" s="55">
        <v>1627</v>
      </c>
      <c r="Q27" s="55">
        <v>10</v>
      </c>
      <c r="X27" s="53" t="s">
        <v>377</v>
      </c>
      <c r="Y27" s="53">
        <v>2</v>
      </c>
      <c r="Z27" s="53">
        <v>1</v>
      </c>
      <c r="AA27" s="53">
        <v>1</v>
      </c>
      <c r="AB27" s="53">
        <v>1</v>
      </c>
      <c r="AC27" s="57">
        <v>12</v>
      </c>
      <c r="AD27" s="60">
        <v>940000</v>
      </c>
      <c r="BA27" s="56">
        <f t="shared" si="0"/>
        <v>12408000</v>
      </c>
    </row>
    <row r="28" spans="1:53">
      <c r="A28" s="53">
        <v>40407180003</v>
      </c>
      <c r="B28" s="57">
        <v>1</v>
      </c>
      <c r="C28" s="58" t="s">
        <v>78</v>
      </c>
      <c r="D28" s="58">
        <v>5</v>
      </c>
      <c r="L28" s="59" t="s">
        <v>297</v>
      </c>
      <c r="M28" s="59" t="s">
        <v>297</v>
      </c>
      <c r="N28" s="55" t="s">
        <v>298</v>
      </c>
      <c r="O28" s="55">
        <v>1</v>
      </c>
      <c r="P28" s="55">
        <v>1627</v>
      </c>
      <c r="Q28" s="55">
        <v>10</v>
      </c>
      <c r="X28" s="53" t="s">
        <v>377</v>
      </c>
      <c r="Y28" s="53">
        <v>2</v>
      </c>
      <c r="Z28" s="53">
        <v>1</v>
      </c>
      <c r="AA28" s="53">
        <v>1</v>
      </c>
      <c r="AB28" s="53">
        <v>1</v>
      </c>
      <c r="AC28" s="57">
        <v>24</v>
      </c>
      <c r="AD28" s="60">
        <v>448000</v>
      </c>
      <c r="BA28" s="56">
        <f t="shared" si="0"/>
        <v>11827200</v>
      </c>
    </row>
    <row r="29" spans="1:53">
      <c r="A29" s="53">
        <v>40407180003</v>
      </c>
      <c r="B29" s="57">
        <v>1</v>
      </c>
      <c r="C29" s="58" t="s">
        <v>78</v>
      </c>
      <c r="D29" s="58">
        <v>5</v>
      </c>
      <c r="L29" s="59" t="s">
        <v>297</v>
      </c>
      <c r="M29" s="59" t="s">
        <v>297</v>
      </c>
      <c r="N29" s="55" t="s">
        <v>298</v>
      </c>
      <c r="O29" s="55">
        <v>1</v>
      </c>
      <c r="P29" s="55">
        <v>1627</v>
      </c>
      <c r="Q29" s="55">
        <v>10</v>
      </c>
      <c r="X29" s="53" t="s">
        <v>377</v>
      </c>
      <c r="Y29" s="53">
        <v>2</v>
      </c>
      <c r="Z29" s="53">
        <v>1</v>
      </c>
      <c r="AA29" s="53">
        <v>1</v>
      </c>
      <c r="AB29" s="53">
        <v>1</v>
      </c>
      <c r="AC29" s="57">
        <v>4</v>
      </c>
      <c r="AD29" s="60">
        <v>4470000</v>
      </c>
      <c r="BA29" s="56">
        <f t="shared" si="0"/>
        <v>19668000</v>
      </c>
    </row>
    <row r="30" spans="1:53">
      <c r="A30" s="53">
        <v>40407180003</v>
      </c>
      <c r="B30" s="57">
        <v>1</v>
      </c>
      <c r="C30" s="58" t="s">
        <v>78</v>
      </c>
      <c r="D30" s="58">
        <v>5</v>
      </c>
      <c r="L30" s="59" t="s">
        <v>297</v>
      </c>
      <c r="M30" s="59" t="s">
        <v>297</v>
      </c>
      <c r="N30" s="55" t="s">
        <v>298</v>
      </c>
      <c r="O30" s="55">
        <v>1</v>
      </c>
      <c r="P30" s="55">
        <v>1627</v>
      </c>
      <c r="Q30" s="55">
        <v>10</v>
      </c>
      <c r="X30" s="53" t="s">
        <v>377</v>
      </c>
      <c r="Y30" s="53">
        <v>2</v>
      </c>
      <c r="Z30" s="53">
        <v>1</v>
      </c>
      <c r="AA30" s="53">
        <v>1</v>
      </c>
      <c r="AB30" s="53">
        <v>1</v>
      </c>
      <c r="AC30" s="57">
        <v>4</v>
      </c>
      <c r="AD30" s="60">
        <v>5420000</v>
      </c>
      <c r="BA30" s="56">
        <f t="shared" si="0"/>
        <v>23848000</v>
      </c>
    </row>
    <row r="31" spans="1:53">
      <c r="A31" s="53">
        <v>40407180003</v>
      </c>
      <c r="B31" s="57">
        <v>1</v>
      </c>
      <c r="C31" s="58" t="s">
        <v>78</v>
      </c>
      <c r="D31" s="58">
        <v>5</v>
      </c>
      <c r="L31" s="59" t="s">
        <v>297</v>
      </c>
      <c r="M31" s="59" t="s">
        <v>297</v>
      </c>
      <c r="N31" s="55" t="s">
        <v>298</v>
      </c>
      <c r="O31" s="55">
        <v>1</v>
      </c>
      <c r="P31" s="55">
        <v>1627</v>
      </c>
      <c r="Q31" s="55">
        <v>10</v>
      </c>
      <c r="X31" s="53" t="s">
        <v>377</v>
      </c>
      <c r="Y31" s="53">
        <v>2</v>
      </c>
      <c r="Z31" s="53">
        <v>1</v>
      </c>
      <c r="AA31" s="53">
        <v>1</v>
      </c>
      <c r="AB31" s="53">
        <v>1</v>
      </c>
      <c r="AC31" s="57">
        <v>4</v>
      </c>
      <c r="AD31" s="60">
        <v>1464000</v>
      </c>
      <c r="BA31" s="56">
        <f t="shared" si="0"/>
        <v>6441600</v>
      </c>
    </row>
    <row r="32" spans="1:53">
      <c r="A32" s="53">
        <v>40407180004</v>
      </c>
      <c r="B32" s="57">
        <v>1</v>
      </c>
      <c r="C32" s="58" t="s">
        <v>78</v>
      </c>
      <c r="D32" s="58">
        <v>5</v>
      </c>
      <c r="L32" s="59" t="s">
        <v>297</v>
      </c>
      <c r="M32" s="59" t="s">
        <v>297</v>
      </c>
      <c r="N32" s="55" t="s">
        <v>298</v>
      </c>
      <c r="O32" s="55">
        <v>1</v>
      </c>
      <c r="P32" s="55">
        <v>1627</v>
      </c>
      <c r="Q32" s="55">
        <v>10</v>
      </c>
      <c r="X32" s="53" t="s">
        <v>377</v>
      </c>
      <c r="Y32" s="53">
        <v>2</v>
      </c>
      <c r="Z32" s="53">
        <v>1</v>
      </c>
      <c r="AA32" s="53">
        <v>1</v>
      </c>
      <c r="AB32" s="53">
        <v>1</v>
      </c>
      <c r="AC32" s="57">
        <v>40</v>
      </c>
      <c r="AD32" s="60">
        <v>175000</v>
      </c>
      <c r="BA32" s="56">
        <f t="shared" si="0"/>
        <v>7700000</v>
      </c>
    </row>
    <row r="33" spans="1:53">
      <c r="A33" s="53">
        <v>40407180004</v>
      </c>
      <c r="B33" s="57">
        <v>1</v>
      </c>
      <c r="C33" s="58" t="s">
        <v>78</v>
      </c>
      <c r="D33" s="58">
        <v>5</v>
      </c>
      <c r="L33" s="59" t="s">
        <v>299</v>
      </c>
      <c r="M33" s="59" t="s">
        <v>299</v>
      </c>
      <c r="N33" s="55" t="s">
        <v>300</v>
      </c>
      <c r="O33" s="55">
        <v>1</v>
      </c>
      <c r="P33" s="55">
        <v>1627</v>
      </c>
      <c r="Q33" s="55">
        <v>10</v>
      </c>
      <c r="X33" s="53" t="s">
        <v>377</v>
      </c>
      <c r="Y33" s="53">
        <v>2</v>
      </c>
      <c r="Z33" s="53">
        <v>1</v>
      </c>
      <c r="AA33" s="53">
        <v>1</v>
      </c>
      <c r="AB33" s="53">
        <v>1</v>
      </c>
      <c r="AC33" s="57">
        <v>1</v>
      </c>
      <c r="AD33" s="60">
        <v>7760000</v>
      </c>
      <c r="BA33" s="56">
        <f t="shared" si="0"/>
        <v>8536000</v>
      </c>
    </row>
    <row r="34" spans="1:53">
      <c r="A34" s="53">
        <v>40407180004</v>
      </c>
      <c r="B34" s="57">
        <v>1</v>
      </c>
      <c r="C34" s="58" t="s">
        <v>78</v>
      </c>
      <c r="D34" s="58">
        <v>5</v>
      </c>
      <c r="L34" s="59" t="s">
        <v>299</v>
      </c>
      <c r="M34" s="59" t="s">
        <v>299</v>
      </c>
      <c r="N34" s="55" t="s">
        <v>301</v>
      </c>
      <c r="O34" s="55">
        <v>1</v>
      </c>
      <c r="P34" s="55">
        <v>1627</v>
      </c>
      <c r="Q34" s="55">
        <v>10</v>
      </c>
      <c r="X34" s="53" t="s">
        <v>377</v>
      </c>
      <c r="Y34" s="53">
        <v>2</v>
      </c>
      <c r="Z34" s="53">
        <v>1</v>
      </c>
      <c r="AA34" s="53">
        <v>1</v>
      </c>
      <c r="AB34" s="53">
        <v>1</v>
      </c>
      <c r="AC34" s="57">
        <v>1</v>
      </c>
      <c r="AD34" s="60">
        <v>10290000</v>
      </c>
      <c r="BA34" s="56">
        <f t="shared" si="0"/>
        <v>11319000</v>
      </c>
    </row>
    <row r="35" spans="1:53">
      <c r="A35" s="53">
        <v>40407180004</v>
      </c>
      <c r="B35" s="57">
        <v>1</v>
      </c>
      <c r="C35" s="58" t="s">
        <v>78</v>
      </c>
      <c r="D35" s="58">
        <v>5</v>
      </c>
      <c r="L35" s="59" t="s">
        <v>302</v>
      </c>
      <c r="M35" s="59" t="s">
        <v>302</v>
      </c>
      <c r="N35" s="55" t="s">
        <v>303</v>
      </c>
      <c r="O35" s="55">
        <v>1</v>
      </c>
      <c r="P35" s="55">
        <v>1627</v>
      </c>
      <c r="Q35" s="55">
        <v>10</v>
      </c>
      <c r="X35" s="53" t="s">
        <v>377</v>
      </c>
      <c r="Y35" s="53">
        <v>2</v>
      </c>
      <c r="Z35" s="53">
        <v>1</v>
      </c>
      <c r="AA35" s="53">
        <v>1</v>
      </c>
      <c r="AB35" s="53">
        <v>1</v>
      </c>
      <c r="AC35" s="57">
        <v>40</v>
      </c>
      <c r="AD35" s="60">
        <v>559000</v>
      </c>
      <c r="BA35" s="56">
        <f t="shared" si="0"/>
        <v>24596000</v>
      </c>
    </row>
    <row r="36" spans="1:53">
      <c r="A36" s="53">
        <v>40407180004</v>
      </c>
      <c r="B36" s="57">
        <v>1</v>
      </c>
      <c r="C36" s="58" t="s">
        <v>78</v>
      </c>
      <c r="D36" s="58">
        <v>5</v>
      </c>
      <c r="L36" s="59" t="s">
        <v>302</v>
      </c>
      <c r="M36" s="59" t="s">
        <v>302</v>
      </c>
      <c r="N36" s="55" t="s">
        <v>303</v>
      </c>
      <c r="O36" s="55">
        <v>1</v>
      </c>
      <c r="P36" s="55">
        <v>1627</v>
      </c>
      <c r="Q36" s="55">
        <v>10</v>
      </c>
      <c r="X36" s="53" t="s">
        <v>377</v>
      </c>
      <c r="Y36" s="53">
        <v>2</v>
      </c>
      <c r="Z36" s="53">
        <v>1</v>
      </c>
      <c r="AA36" s="53">
        <v>1</v>
      </c>
      <c r="AB36" s="53">
        <v>1</v>
      </c>
      <c r="AC36" s="57">
        <v>40</v>
      </c>
      <c r="AD36" s="60">
        <v>713000</v>
      </c>
      <c r="BA36" s="56">
        <f t="shared" si="0"/>
        <v>31372000</v>
      </c>
    </row>
    <row r="37" spans="1:53">
      <c r="A37" s="53">
        <v>40407180004</v>
      </c>
      <c r="B37" s="57">
        <v>1</v>
      </c>
      <c r="C37" s="58" t="s">
        <v>78</v>
      </c>
      <c r="D37" s="58">
        <v>5</v>
      </c>
      <c r="L37" s="59" t="s">
        <v>304</v>
      </c>
      <c r="M37" s="59" t="s">
        <v>304</v>
      </c>
      <c r="N37" s="55" t="s">
        <v>305</v>
      </c>
      <c r="O37" s="55">
        <v>1</v>
      </c>
      <c r="P37" s="55">
        <v>1627</v>
      </c>
      <c r="Q37" s="55">
        <v>10</v>
      </c>
      <c r="X37" s="53" t="s">
        <v>377</v>
      </c>
      <c r="Y37" s="53">
        <v>2</v>
      </c>
      <c r="Z37" s="53">
        <v>1</v>
      </c>
      <c r="AA37" s="53">
        <v>1</v>
      </c>
      <c r="AB37" s="53">
        <v>1</v>
      </c>
      <c r="AC37" s="57">
        <v>12</v>
      </c>
      <c r="AD37" s="60">
        <v>700000</v>
      </c>
      <c r="BA37" s="56">
        <f t="shared" si="0"/>
        <v>9240000</v>
      </c>
    </row>
    <row r="38" spans="1:53">
      <c r="A38" s="53">
        <v>40407180004</v>
      </c>
      <c r="B38" s="57">
        <v>1</v>
      </c>
      <c r="C38" s="58" t="s">
        <v>78</v>
      </c>
      <c r="D38" s="58">
        <v>5</v>
      </c>
      <c r="L38" s="59" t="s">
        <v>306</v>
      </c>
      <c r="M38" s="59" t="s">
        <v>306</v>
      </c>
      <c r="N38" s="55" t="s">
        <v>307</v>
      </c>
      <c r="O38" s="55">
        <v>1</v>
      </c>
      <c r="P38" s="55">
        <v>1627</v>
      </c>
      <c r="Q38" s="55">
        <v>10</v>
      </c>
      <c r="X38" s="53" t="s">
        <v>377</v>
      </c>
      <c r="Y38" s="53">
        <v>2</v>
      </c>
      <c r="Z38" s="53">
        <v>1</v>
      </c>
      <c r="AA38" s="53">
        <v>1</v>
      </c>
      <c r="AB38" s="53">
        <v>1</v>
      </c>
      <c r="AC38" s="57">
        <v>4</v>
      </c>
      <c r="AD38" s="60">
        <v>2660000</v>
      </c>
      <c r="BA38" s="56">
        <f t="shared" si="0"/>
        <v>11704000</v>
      </c>
    </row>
    <row r="39" spans="1:53">
      <c r="A39" s="53">
        <v>40407180004</v>
      </c>
      <c r="B39" s="57">
        <v>1</v>
      </c>
      <c r="C39" s="58" t="s">
        <v>78</v>
      </c>
      <c r="D39" s="58">
        <v>5</v>
      </c>
      <c r="L39" s="59" t="s">
        <v>308</v>
      </c>
      <c r="M39" s="59" t="s">
        <v>308</v>
      </c>
      <c r="N39" s="55" t="s">
        <v>309</v>
      </c>
      <c r="O39" s="55">
        <v>1</v>
      </c>
      <c r="P39" s="55">
        <v>1627</v>
      </c>
      <c r="Q39" s="55">
        <v>10</v>
      </c>
      <c r="X39" s="53" t="s">
        <v>377</v>
      </c>
      <c r="Y39" s="53">
        <v>2</v>
      </c>
      <c r="Z39" s="53">
        <v>1</v>
      </c>
      <c r="AA39" s="53">
        <v>1</v>
      </c>
      <c r="AB39" s="53">
        <v>1</v>
      </c>
      <c r="AC39" s="57">
        <v>4</v>
      </c>
      <c r="AD39" s="60">
        <v>2490000</v>
      </c>
      <c r="BA39" s="56">
        <f t="shared" si="0"/>
        <v>10956000</v>
      </c>
    </row>
    <row r="40" spans="1:53">
      <c r="A40" s="53">
        <v>40407180004</v>
      </c>
      <c r="B40" s="57">
        <v>1</v>
      </c>
      <c r="C40" s="58" t="s">
        <v>78</v>
      </c>
      <c r="D40" s="58">
        <v>5</v>
      </c>
      <c r="L40" s="59" t="s">
        <v>308</v>
      </c>
      <c r="M40" s="59" t="s">
        <v>308</v>
      </c>
      <c r="N40" s="55" t="s">
        <v>309</v>
      </c>
      <c r="O40" s="55">
        <v>1</v>
      </c>
      <c r="P40" s="55">
        <v>1627</v>
      </c>
      <c r="Q40" s="55">
        <v>10</v>
      </c>
      <c r="X40" s="53" t="s">
        <v>377</v>
      </c>
      <c r="Y40" s="53">
        <v>2</v>
      </c>
      <c r="Z40" s="53">
        <v>1</v>
      </c>
      <c r="AA40" s="53">
        <v>1</v>
      </c>
      <c r="AB40" s="53">
        <v>1</v>
      </c>
      <c r="AC40" s="57">
        <v>8</v>
      </c>
      <c r="AD40" s="60">
        <v>2900000</v>
      </c>
      <c r="BA40" s="56">
        <f t="shared" si="0"/>
        <v>25520000</v>
      </c>
    </row>
    <row r="41" spans="1:53">
      <c r="A41" s="53">
        <v>40407180004</v>
      </c>
      <c r="B41" s="57">
        <v>1</v>
      </c>
      <c r="C41" s="58" t="s">
        <v>78</v>
      </c>
      <c r="D41" s="58">
        <v>5</v>
      </c>
      <c r="L41" s="59" t="s">
        <v>310</v>
      </c>
      <c r="M41" s="59" t="s">
        <v>310</v>
      </c>
      <c r="N41" s="55" t="s">
        <v>311</v>
      </c>
      <c r="O41" s="55">
        <v>1</v>
      </c>
      <c r="P41" s="55">
        <v>1627</v>
      </c>
      <c r="Q41" s="55">
        <v>10</v>
      </c>
      <c r="X41" s="53" t="s">
        <v>377</v>
      </c>
      <c r="Y41" s="53">
        <v>2</v>
      </c>
      <c r="Z41" s="53">
        <v>1</v>
      </c>
      <c r="AA41" s="53">
        <v>1</v>
      </c>
      <c r="AB41" s="53">
        <v>1</v>
      </c>
      <c r="AC41" s="57">
        <v>24</v>
      </c>
      <c r="AD41" s="60">
        <v>220000</v>
      </c>
      <c r="BA41" s="56">
        <f t="shared" si="0"/>
        <v>5808000</v>
      </c>
    </row>
    <row r="42" spans="1:53">
      <c r="A42" s="53">
        <v>40407180005</v>
      </c>
      <c r="B42" s="57">
        <v>1</v>
      </c>
      <c r="C42" s="58" t="s">
        <v>78</v>
      </c>
      <c r="D42" s="58">
        <v>5</v>
      </c>
      <c r="L42" s="59" t="s">
        <v>310</v>
      </c>
      <c r="M42" s="59" t="s">
        <v>310</v>
      </c>
      <c r="N42" s="55" t="s">
        <v>311</v>
      </c>
      <c r="O42" s="55">
        <v>1</v>
      </c>
      <c r="P42" s="55">
        <v>1627</v>
      </c>
      <c r="Q42" s="55">
        <v>10</v>
      </c>
      <c r="X42" s="53" t="s">
        <v>377</v>
      </c>
      <c r="Y42" s="53">
        <v>2</v>
      </c>
      <c r="Z42" s="53">
        <v>1</v>
      </c>
      <c r="AA42" s="53">
        <v>1</v>
      </c>
      <c r="AB42" s="53">
        <v>1</v>
      </c>
      <c r="AC42" s="57">
        <v>3</v>
      </c>
      <c r="AD42" s="60">
        <v>930000</v>
      </c>
      <c r="BA42" s="56">
        <f t="shared" si="0"/>
        <v>3069000</v>
      </c>
    </row>
    <row r="43" spans="1:53">
      <c r="A43" s="53">
        <v>40407180005</v>
      </c>
      <c r="B43" s="57">
        <v>1</v>
      </c>
      <c r="C43" s="58" t="s">
        <v>78</v>
      </c>
      <c r="D43" s="58">
        <v>5</v>
      </c>
      <c r="L43" s="59" t="s">
        <v>269</v>
      </c>
      <c r="M43" s="59" t="s">
        <v>269</v>
      </c>
      <c r="N43" s="55" t="s">
        <v>270</v>
      </c>
      <c r="O43" s="55">
        <v>1</v>
      </c>
      <c r="P43" s="55">
        <v>1627</v>
      </c>
      <c r="Q43" s="55">
        <v>10</v>
      </c>
      <c r="X43" s="53" t="s">
        <v>377</v>
      </c>
      <c r="Y43" s="53">
        <v>2</v>
      </c>
      <c r="Z43" s="53">
        <v>1</v>
      </c>
      <c r="AA43" s="53">
        <v>1</v>
      </c>
      <c r="AB43" s="53">
        <v>1</v>
      </c>
      <c r="AC43" s="57">
        <v>20</v>
      </c>
      <c r="AD43" s="60">
        <v>680000</v>
      </c>
      <c r="BA43" s="56">
        <f t="shared" si="0"/>
        <v>14960000</v>
      </c>
    </row>
    <row r="44" spans="1:53">
      <c r="A44" s="53">
        <v>40407180005</v>
      </c>
      <c r="B44" s="57">
        <v>1</v>
      </c>
      <c r="C44" s="58" t="s">
        <v>78</v>
      </c>
      <c r="D44" s="58">
        <v>5</v>
      </c>
      <c r="L44" s="59" t="s">
        <v>269</v>
      </c>
      <c r="M44" s="59" t="s">
        <v>269</v>
      </c>
      <c r="N44" s="55" t="s">
        <v>270</v>
      </c>
      <c r="O44" s="55">
        <v>1</v>
      </c>
      <c r="P44" s="55">
        <v>1627</v>
      </c>
      <c r="Q44" s="55">
        <v>10</v>
      </c>
      <c r="X44" s="53" t="s">
        <v>377</v>
      </c>
      <c r="Y44" s="53">
        <v>2</v>
      </c>
      <c r="Z44" s="53">
        <v>1</v>
      </c>
      <c r="AA44" s="53">
        <v>1</v>
      </c>
      <c r="AB44" s="53">
        <v>1</v>
      </c>
      <c r="AC44" s="57">
        <v>16</v>
      </c>
      <c r="AD44" s="60">
        <v>894000</v>
      </c>
      <c r="BA44" s="56">
        <f t="shared" si="0"/>
        <v>15734400</v>
      </c>
    </row>
    <row r="45" spans="1:53">
      <c r="A45" s="53">
        <v>40407180005</v>
      </c>
      <c r="B45" s="57">
        <v>1</v>
      </c>
      <c r="C45" s="58" t="s">
        <v>78</v>
      </c>
      <c r="D45" s="58">
        <v>5</v>
      </c>
      <c r="L45" s="59" t="s">
        <v>269</v>
      </c>
      <c r="M45" s="59" t="s">
        <v>269</v>
      </c>
      <c r="N45" s="55" t="s">
        <v>270</v>
      </c>
      <c r="O45" s="55">
        <v>1</v>
      </c>
      <c r="P45" s="55">
        <v>1627</v>
      </c>
      <c r="Q45" s="55">
        <v>10</v>
      </c>
      <c r="X45" s="53" t="s">
        <v>377</v>
      </c>
      <c r="Y45" s="53">
        <v>2</v>
      </c>
      <c r="Z45" s="53">
        <v>1</v>
      </c>
      <c r="AA45" s="53">
        <v>1</v>
      </c>
      <c r="AB45" s="53">
        <v>1</v>
      </c>
      <c r="AC45" s="57">
        <v>10</v>
      </c>
      <c r="AD45" s="60">
        <v>680000</v>
      </c>
      <c r="BA45" s="56">
        <f t="shared" si="0"/>
        <v>7480000</v>
      </c>
    </row>
    <row r="46" spans="1:53">
      <c r="A46" s="53">
        <v>40407180005</v>
      </c>
      <c r="B46" s="57">
        <v>1</v>
      </c>
      <c r="C46" s="58" t="s">
        <v>78</v>
      </c>
      <c r="D46" s="58">
        <v>5</v>
      </c>
      <c r="L46" s="59" t="s">
        <v>269</v>
      </c>
      <c r="M46" s="59" t="s">
        <v>269</v>
      </c>
      <c r="N46" s="55" t="s">
        <v>270</v>
      </c>
      <c r="O46" s="55">
        <v>1</v>
      </c>
      <c r="P46" s="55">
        <v>1627</v>
      </c>
      <c r="Q46" s="55">
        <v>10</v>
      </c>
      <c r="X46" s="53" t="s">
        <v>377</v>
      </c>
      <c r="Y46" s="53">
        <v>2</v>
      </c>
      <c r="Z46" s="53">
        <v>1</v>
      </c>
      <c r="AA46" s="53">
        <v>1</v>
      </c>
      <c r="AB46" s="53">
        <v>1</v>
      </c>
      <c r="AC46" s="57">
        <v>25</v>
      </c>
      <c r="AD46" s="60">
        <v>812000</v>
      </c>
      <c r="BA46" s="56">
        <f t="shared" si="0"/>
        <v>22330000</v>
      </c>
    </row>
    <row r="47" spans="1:53">
      <c r="A47" s="53">
        <v>40407180005</v>
      </c>
      <c r="B47" s="57">
        <v>1</v>
      </c>
      <c r="C47" s="58" t="s">
        <v>78</v>
      </c>
      <c r="D47" s="58">
        <v>5</v>
      </c>
      <c r="L47" s="59" t="s">
        <v>269</v>
      </c>
      <c r="M47" s="59" t="s">
        <v>269</v>
      </c>
      <c r="N47" s="55" t="s">
        <v>270</v>
      </c>
      <c r="O47" s="55">
        <v>1</v>
      </c>
      <c r="P47" s="55">
        <v>1627</v>
      </c>
      <c r="Q47" s="55">
        <v>10</v>
      </c>
      <c r="X47" s="53" t="s">
        <v>377</v>
      </c>
      <c r="Y47" s="53">
        <v>2</v>
      </c>
      <c r="Z47" s="53">
        <v>1</v>
      </c>
      <c r="AA47" s="53">
        <v>1</v>
      </c>
      <c r="AB47" s="53">
        <v>1</v>
      </c>
      <c r="AC47" s="57">
        <v>60</v>
      </c>
      <c r="AD47" s="60">
        <v>812000</v>
      </c>
      <c r="BA47" s="56">
        <f t="shared" si="0"/>
        <v>53592000</v>
      </c>
    </row>
    <row r="48" spans="1:53">
      <c r="A48" s="53">
        <v>40407180005</v>
      </c>
      <c r="B48" s="57">
        <v>1</v>
      </c>
      <c r="C48" s="58" t="s">
        <v>78</v>
      </c>
      <c r="D48" s="58">
        <v>5</v>
      </c>
      <c r="L48" s="59" t="s">
        <v>312</v>
      </c>
      <c r="M48" s="59" t="s">
        <v>312</v>
      </c>
      <c r="N48" s="55" t="s">
        <v>313</v>
      </c>
      <c r="O48" s="55">
        <v>1</v>
      </c>
      <c r="P48" s="55">
        <v>1627</v>
      </c>
      <c r="Q48" s="55">
        <v>10</v>
      </c>
      <c r="X48" s="53" t="s">
        <v>377</v>
      </c>
      <c r="Y48" s="53">
        <v>2</v>
      </c>
      <c r="Z48" s="53">
        <v>1</v>
      </c>
      <c r="AA48" s="53">
        <v>1</v>
      </c>
      <c r="AB48" s="53">
        <v>1</v>
      </c>
      <c r="AC48" s="57">
        <v>1</v>
      </c>
      <c r="AD48" s="60">
        <v>7300000</v>
      </c>
      <c r="BA48" s="56">
        <f t="shared" si="0"/>
        <v>8030000</v>
      </c>
    </row>
    <row r="49" spans="1:53">
      <c r="A49" s="53">
        <v>40407180005</v>
      </c>
      <c r="B49" s="57">
        <v>1</v>
      </c>
      <c r="C49" s="58" t="s">
        <v>78</v>
      </c>
      <c r="D49" s="58">
        <v>5</v>
      </c>
      <c r="L49" s="59" t="s">
        <v>269</v>
      </c>
      <c r="M49" s="59" t="s">
        <v>269</v>
      </c>
      <c r="N49" s="55" t="s">
        <v>270</v>
      </c>
      <c r="O49" s="55">
        <v>1</v>
      </c>
      <c r="P49" s="55">
        <v>1627</v>
      </c>
      <c r="Q49" s="55">
        <v>10</v>
      </c>
      <c r="X49" s="53" t="s">
        <v>377</v>
      </c>
      <c r="Y49" s="53">
        <v>2</v>
      </c>
      <c r="Z49" s="53">
        <v>1</v>
      </c>
      <c r="AA49" s="53">
        <v>1</v>
      </c>
      <c r="AB49" s="53">
        <v>1</v>
      </c>
      <c r="AC49" s="57">
        <v>12.5</v>
      </c>
      <c r="AD49" s="60">
        <v>700000</v>
      </c>
      <c r="BA49" s="56">
        <f t="shared" si="0"/>
        <v>9625000</v>
      </c>
    </row>
    <row r="50" spans="1:53">
      <c r="A50" s="53">
        <v>40407180005</v>
      </c>
      <c r="B50" s="57">
        <v>1</v>
      </c>
      <c r="C50" s="58" t="s">
        <v>78</v>
      </c>
      <c r="D50" s="58">
        <v>5</v>
      </c>
      <c r="L50" s="59" t="s">
        <v>314</v>
      </c>
      <c r="M50" s="59" t="s">
        <v>314</v>
      </c>
      <c r="N50" s="55" t="s">
        <v>315</v>
      </c>
      <c r="O50" s="55">
        <v>1</v>
      </c>
      <c r="P50" s="55">
        <v>1627</v>
      </c>
      <c r="Q50" s="55">
        <v>10</v>
      </c>
      <c r="X50" s="53" t="s">
        <v>377</v>
      </c>
      <c r="Y50" s="53">
        <v>2</v>
      </c>
      <c r="Z50" s="53">
        <v>1</v>
      </c>
      <c r="AA50" s="53">
        <v>1</v>
      </c>
      <c r="AB50" s="53">
        <v>1</v>
      </c>
      <c r="AC50" s="57">
        <v>20</v>
      </c>
      <c r="AD50" s="60">
        <v>210000</v>
      </c>
      <c r="BA50" s="56">
        <f t="shared" si="0"/>
        <v>4620000</v>
      </c>
    </row>
    <row r="51" spans="1:53">
      <c r="A51" s="53">
        <v>40407180005</v>
      </c>
      <c r="B51" s="57">
        <v>1</v>
      </c>
      <c r="C51" s="58" t="s">
        <v>78</v>
      </c>
      <c r="D51" s="58">
        <v>5</v>
      </c>
      <c r="L51" s="59" t="s">
        <v>316</v>
      </c>
      <c r="M51" s="59" t="s">
        <v>316</v>
      </c>
      <c r="N51" s="55" t="s">
        <v>317</v>
      </c>
      <c r="O51" s="55">
        <v>1</v>
      </c>
      <c r="P51" s="55">
        <v>1627</v>
      </c>
      <c r="Q51" s="55">
        <v>10</v>
      </c>
      <c r="X51" s="53" t="s">
        <v>377</v>
      </c>
      <c r="Y51" s="53">
        <v>2</v>
      </c>
      <c r="Z51" s="53">
        <v>1</v>
      </c>
      <c r="AA51" s="53">
        <v>1</v>
      </c>
      <c r="AB51" s="53">
        <v>1</v>
      </c>
      <c r="AC51" s="57">
        <v>8</v>
      </c>
      <c r="AD51" s="60">
        <v>1150000</v>
      </c>
      <c r="BA51" s="56">
        <f t="shared" si="0"/>
        <v>10120000</v>
      </c>
    </row>
    <row r="52" spans="1:53">
      <c r="A52" s="53">
        <v>40407180006</v>
      </c>
      <c r="B52" s="57">
        <v>1</v>
      </c>
      <c r="C52" s="58" t="s">
        <v>78</v>
      </c>
      <c r="D52" s="58">
        <v>5</v>
      </c>
      <c r="L52" s="59" t="s">
        <v>318</v>
      </c>
      <c r="M52" s="59" t="s">
        <v>318</v>
      </c>
      <c r="N52" s="55" t="s">
        <v>319</v>
      </c>
      <c r="O52" s="55">
        <v>1</v>
      </c>
      <c r="P52" s="55">
        <v>1627</v>
      </c>
      <c r="Q52" s="55">
        <v>10</v>
      </c>
      <c r="X52" s="53" t="s">
        <v>377</v>
      </c>
      <c r="Y52" s="53">
        <v>2</v>
      </c>
      <c r="Z52" s="53">
        <v>1</v>
      </c>
      <c r="AA52" s="53">
        <v>1</v>
      </c>
      <c r="AB52" s="53">
        <v>1</v>
      </c>
      <c r="AC52" s="57">
        <v>20</v>
      </c>
      <c r="AD52" s="60">
        <v>370000</v>
      </c>
      <c r="BA52" s="56">
        <f t="shared" si="0"/>
        <v>8140000</v>
      </c>
    </row>
    <row r="53" spans="1:53">
      <c r="A53" s="53">
        <v>40407180006</v>
      </c>
      <c r="B53" s="57">
        <v>1</v>
      </c>
      <c r="C53" s="58" t="s">
        <v>78</v>
      </c>
      <c r="D53" s="58">
        <v>5</v>
      </c>
      <c r="L53" s="59" t="s">
        <v>320</v>
      </c>
      <c r="M53" s="59" t="s">
        <v>320</v>
      </c>
      <c r="N53" s="55" t="s">
        <v>321</v>
      </c>
      <c r="O53" s="55">
        <v>1</v>
      </c>
      <c r="P53" s="55">
        <v>1627</v>
      </c>
      <c r="Q53" s="55">
        <v>10</v>
      </c>
      <c r="X53" s="53" t="s">
        <v>377</v>
      </c>
      <c r="Y53" s="53">
        <v>2</v>
      </c>
      <c r="Z53" s="53">
        <v>1</v>
      </c>
      <c r="AA53" s="53">
        <v>1</v>
      </c>
      <c r="AB53" s="53">
        <v>1</v>
      </c>
      <c r="AC53" s="57">
        <v>12</v>
      </c>
      <c r="AD53" s="60">
        <v>1150000</v>
      </c>
      <c r="BA53" s="56">
        <f t="shared" si="0"/>
        <v>15180000</v>
      </c>
    </row>
    <row r="54" spans="1:53">
      <c r="A54" s="53">
        <v>40407180006</v>
      </c>
      <c r="B54" s="57">
        <v>1</v>
      </c>
      <c r="C54" s="58" t="s">
        <v>78</v>
      </c>
      <c r="D54" s="58">
        <v>5</v>
      </c>
      <c r="L54" s="59" t="s">
        <v>273</v>
      </c>
      <c r="M54" s="59" t="s">
        <v>273</v>
      </c>
      <c r="N54" s="55" t="s">
        <v>274</v>
      </c>
      <c r="O54" s="55">
        <v>1</v>
      </c>
      <c r="P54" s="55">
        <v>1627</v>
      </c>
      <c r="Q54" s="55">
        <v>10</v>
      </c>
      <c r="X54" s="53" t="s">
        <v>377</v>
      </c>
      <c r="Y54" s="53">
        <v>2</v>
      </c>
      <c r="Z54" s="53">
        <v>1</v>
      </c>
      <c r="AA54" s="53">
        <v>1</v>
      </c>
      <c r="AB54" s="53">
        <v>1</v>
      </c>
      <c r="AC54" s="57">
        <v>50</v>
      </c>
      <c r="AD54" s="60">
        <v>700000</v>
      </c>
      <c r="BA54" s="56">
        <f t="shared" si="0"/>
        <v>38500000</v>
      </c>
    </row>
    <row r="55" spans="1:53">
      <c r="A55" s="53">
        <v>40407180006</v>
      </c>
      <c r="B55" s="57">
        <v>1</v>
      </c>
      <c r="C55" s="58" t="s">
        <v>78</v>
      </c>
      <c r="D55" s="58">
        <v>5</v>
      </c>
      <c r="L55" s="59" t="s">
        <v>271</v>
      </c>
      <c r="M55" s="59" t="s">
        <v>271</v>
      </c>
      <c r="N55" s="55" t="s">
        <v>272</v>
      </c>
      <c r="O55" s="55">
        <v>1</v>
      </c>
      <c r="P55" s="55">
        <v>1627</v>
      </c>
      <c r="Q55" s="55">
        <v>0</v>
      </c>
      <c r="X55" s="53" t="s">
        <v>377</v>
      </c>
      <c r="Y55" s="53">
        <v>2</v>
      </c>
      <c r="Z55" s="53">
        <v>1</v>
      </c>
      <c r="AA55" s="53">
        <v>1</v>
      </c>
      <c r="AB55" s="53">
        <v>1</v>
      </c>
      <c r="AC55" s="57">
        <v>5</v>
      </c>
      <c r="AD55" s="60">
        <v>25000000</v>
      </c>
      <c r="BA55" s="56">
        <f t="shared" si="0"/>
        <v>125000000</v>
      </c>
    </row>
    <row r="56" spans="1:53">
      <c r="A56" s="53">
        <v>40407180006</v>
      </c>
      <c r="B56" s="57">
        <v>1</v>
      </c>
      <c r="C56" s="58" t="s">
        <v>78</v>
      </c>
      <c r="D56" s="58">
        <v>5</v>
      </c>
      <c r="L56" s="59" t="s">
        <v>271</v>
      </c>
      <c r="M56" s="59" t="s">
        <v>271</v>
      </c>
      <c r="N56" s="55" t="s">
        <v>272</v>
      </c>
      <c r="O56" s="55">
        <v>1</v>
      </c>
      <c r="P56" s="55">
        <v>1627</v>
      </c>
      <c r="Q56" s="55">
        <v>0</v>
      </c>
      <c r="X56" s="53" t="s">
        <v>377</v>
      </c>
      <c r="Y56" s="53">
        <v>2</v>
      </c>
      <c r="Z56" s="53">
        <v>1</v>
      </c>
      <c r="AA56" s="53">
        <v>1</v>
      </c>
      <c r="AB56" s="53">
        <v>1</v>
      </c>
      <c r="AC56" s="57">
        <v>10</v>
      </c>
      <c r="AD56" s="60">
        <v>3200000</v>
      </c>
      <c r="BA56" s="56">
        <f t="shared" si="0"/>
        <v>32000000</v>
      </c>
    </row>
    <row r="57" spans="1:53">
      <c r="A57" s="53">
        <v>40407180006</v>
      </c>
      <c r="B57" s="57">
        <v>1</v>
      </c>
      <c r="C57" s="58" t="s">
        <v>78</v>
      </c>
      <c r="D57" s="58">
        <v>5</v>
      </c>
      <c r="L57" s="59" t="s">
        <v>322</v>
      </c>
      <c r="M57" s="59" t="s">
        <v>322</v>
      </c>
      <c r="N57" s="55" t="s">
        <v>323</v>
      </c>
      <c r="O57" s="55">
        <v>1</v>
      </c>
      <c r="P57" s="55">
        <v>1627</v>
      </c>
      <c r="Q57" s="55">
        <v>10</v>
      </c>
      <c r="X57" s="53" t="s">
        <v>377</v>
      </c>
      <c r="Y57" s="53">
        <v>2</v>
      </c>
      <c r="Z57" s="53">
        <v>1</v>
      </c>
      <c r="AA57" s="53">
        <v>1</v>
      </c>
      <c r="AB57" s="53">
        <v>1</v>
      </c>
      <c r="AC57" s="57">
        <v>20</v>
      </c>
      <c r="AD57" s="60">
        <v>1500000</v>
      </c>
      <c r="BA57" s="56">
        <f t="shared" si="0"/>
        <v>33000000</v>
      </c>
    </row>
    <row r="58" spans="1:53">
      <c r="A58" s="53">
        <v>40407180006</v>
      </c>
      <c r="B58" s="57">
        <v>1</v>
      </c>
      <c r="C58" s="58" t="s">
        <v>78</v>
      </c>
      <c r="D58" s="58">
        <v>5</v>
      </c>
      <c r="L58" s="59" t="s">
        <v>271</v>
      </c>
      <c r="M58" s="59" t="s">
        <v>271</v>
      </c>
      <c r="N58" s="55" t="s">
        <v>272</v>
      </c>
      <c r="O58" s="55">
        <v>1</v>
      </c>
      <c r="P58" s="55">
        <v>1627</v>
      </c>
      <c r="Q58" s="55">
        <v>0</v>
      </c>
      <c r="X58" s="53" t="s">
        <v>377</v>
      </c>
      <c r="Y58" s="53">
        <v>2</v>
      </c>
      <c r="Z58" s="53">
        <v>1</v>
      </c>
      <c r="AA58" s="53">
        <v>1</v>
      </c>
      <c r="AB58" s="53">
        <v>1</v>
      </c>
      <c r="AC58" s="57">
        <v>5</v>
      </c>
      <c r="AD58" s="60">
        <v>3200000</v>
      </c>
      <c r="BA58" s="56">
        <f t="shared" si="0"/>
        <v>16000000</v>
      </c>
    </row>
    <row r="59" spans="1:53">
      <c r="A59" s="53">
        <v>40407180006</v>
      </c>
      <c r="B59" s="57">
        <v>1</v>
      </c>
      <c r="C59" s="58" t="s">
        <v>78</v>
      </c>
      <c r="D59" s="58">
        <v>5</v>
      </c>
      <c r="L59" s="59" t="s">
        <v>324</v>
      </c>
      <c r="M59" s="59" t="s">
        <v>324</v>
      </c>
      <c r="N59" s="55" t="s">
        <v>325</v>
      </c>
      <c r="O59" s="55">
        <v>1</v>
      </c>
      <c r="P59" s="55">
        <v>1627</v>
      </c>
      <c r="Q59" s="55">
        <v>10</v>
      </c>
      <c r="X59" s="53" t="s">
        <v>377</v>
      </c>
      <c r="Y59" s="53">
        <v>2</v>
      </c>
      <c r="Z59" s="53">
        <v>1</v>
      </c>
      <c r="AA59" s="53">
        <v>1</v>
      </c>
      <c r="AB59" s="53">
        <v>1</v>
      </c>
      <c r="AC59" s="57">
        <v>144</v>
      </c>
      <c r="AD59" s="60">
        <v>370000</v>
      </c>
      <c r="BA59" s="56">
        <f t="shared" si="0"/>
        <v>58608000</v>
      </c>
    </row>
    <row r="60" spans="1:53">
      <c r="A60" s="53">
        <v>40407180006</v>
      </c>
      <c r="B60" s="57">
        <v>1</v>
      </c>
      <c r="C60" s="58" t="s">
        <v>78</v>
      </c>
      <c r="D60" s="58">
        <v>5</v>
      </c>
      <c r="L60" s="59" t="s">
        <v>326</v>
      </c>
      <c r="M60" s="59" t="s">
        <v>326</v>
      </c>
      <c r="N60" s="55" t="s">
        <v>327</v>
      </c>
      <c r="O60" s="55">
        <v>1</v>
      </c>
      <c r="P60" s="55">
        <v>1627</v>
      </c>
      <c r="Q60" s="55">
        <v>10</v>
      </c>
      <c r="X60" s="53" t="s">
        <v>377</v>
      </c>
      <c r="Y60" s="53">
        <v>2</v>
      </c>
      <c r="Z60" s="53">
        <v>1</v>
      </c>
      <c r="AA60" s="53">
        <v>1</v>
      </c>
      <c r="AB60" s="53">
        <v>1</v>
      </c>
      <c r="AC60" s="57">
        <v>400</v>
      </c>
      <c r="AD60" s="60">
        <v>700000</v>
      </c>
      <c r="BA60" s="56">
        <f t="shared" si="0"/>
        <v>308000000</v>
      </c>
    </row>
    <row r="61" spans="1:53">
      <c r="A61" s="53">
        <v>40407180006</v>
      </c>
      <c r="B61" s="57">
        <v>1</v>
      </c>
      <c r="C61" s="58" t="s">
        <v>78</v>
      </c>
      <c r="D61" s="58">
        <v>5</v>
      </c>
      <c r="L61" s="59" t="s">
        <v>271</v>
      </c>
      <c r="M61" s="59" t="s">
        <v>271</v>
      </c>
      <c r="N61" s="55" t="s">
        <v>272</v>
      </c>
      <c r="O61" s="55">
        <v>1</v>
      </c>
      <c r="P61" s="55">
        <v>1627</v>
      </c>
      <c r="Q61" s="55">
        <v>0</v>
      </c>
      <c r="X61" s="53" t="s">
        <v>377</v>
      </c>
      <c r="Y61" s="53">
        <v>2</v>
      </c>
      <c r="Z61" s="53">
        <v>1</v>
      </c>
      <c r="AA61" s="53">
        <v>1</v>
      </c>
      <c r="AB61" s="53">
        <v>1</v>
      </c>
      <c r="AC61" s="57">
        <v>2</v>
      </c>
      <c r="AD61" s="60">
        <v>29000000</v>
      </c>
      <c r="BA61" s="56">
        <f t="shared" si="0"/>
        <v>58000000</v>
      </c>
    </row>
    <row r="62" spans="1:53">
      <c r="A62" s="53">
        <v>40407180007</v>
      </c>
      <c r="B62" s="57">
        <v>1</v>
      </c>
      <c r="C62" s="58" t="s">
        <v>78</v>
      </c>
      <c r="D62" s="58">
        <v>5</v>
      </c>
      <c r="L62" s="59" t="s">
        <v>328</v>
      </c>
      <c r="M62" s="59" t="s">
        <v>328</v>
      </c>
      <c r="N62" s="55" t="s">
        <v>329</v>
      </c>
      <c r="O62" s="55">
        <v>1</v>
      </c>
      <c r="P62" s="55">
        <v>1627</v>
      </c>
      <c r="Q62" s="55">
        <v>0</v>
      </c>
      <c r="X62" s="53" t="s">
        <v>377</v>
      </c>
      <c r="Y62" s="53">
        <v>2</v>
      </c>
      <c r="Z62" s="53">
        <v>1</v>
      </c>
      <c r="AA62" s="53">
        <v>1</v>
      </c>
      <c r="AB62" s="53">
        <v>1</v>
      </c>
      <c r="AC62" s="57">
        <v>19.25</v>
      </c>
      <c r="AD62" s="60">
        <v>8000000</v>
      </c>
      <c r="BA62" s="56">
        <f t="shared" si="0"/>
        <v>154000000</v>
      </c>
    </row>
    <row r="63" spans="1:53">
      <c r="A63" s="53">
        <v>40407180007</v>
      </c>
      <c r="B63" s="57">
        <v>1</v>
      </c>
      <c r="C63" s="58" t="s">
        <v>78</v>
      </c>
      <c r="D63" s="58">
        <v>5</v>
      </c>
      <c r="L63" s="59" t="s">
        <v>330</v>
      </c>
      <c r="M63" s="59" t="s">
        <v>330</v>
      </c>
      <c r="N63" s="55" t="s">
        <v>331</v>
      </c>
      <c r="O63" s="55">
        <v>1</v>
      </c>
      <c r="P63" s="55">
        <v>1627</v>
      </c>
      <c r="Q63" s="55">
        <v>0</v>
      </c>
      <c r="X63" s="53" t="s">
        <v>377</v>
      </c>
      <c r="Y63" s="53">
        <v>2</v>
      </c>
      <c r="Z63" s="53">
        <v>1</v>
      </c>
      <c r="AA63" s="53">
        <v>1</v>
      </c>
      <c r="AB63" s="53">
        <v>1</v>
      </c>
      <c r="AC63" s="57">
        <v>80</v>
      </c>
      <c r="AD63" s="60">
        <v>1670000</v>
      </c>
      <c r="BA63" s="56">
        <f t="shared" si="0"/>
        <v>133600000</v>
      </c>
    </row>
    <row r="64" spans="1:53">
      <c r="A64" s="53">
        <v>40407180007</v>
      </c>
      <c r="B64" s="57">
        <v>1</v>
      </c>
      <c r="C64" s="58" t="s">
        <v>78</v>
      </c>
      <c r="D64" s="58">
        <v>5</v>
      </c>
      <c r="L64" s="59" t="s">
        <v>332</v>
      </c>
      <c r="M64" s="59" t="s">
        <v>332</v>
      </c>
      <c r="N64" s="55" t="s">
        <v>333</v>
      </c>
      <c r="O64" s="55">
        <v>1</v>
      </c>
      <c r="P64" s="55">
        <v>1627</v>
      </c>
      <c r="Q64" s="55">
        <v>10</v>
      </c>
      <c r="X64" s="53" t="s">
        <v>377</v>
      </c>
      <c r="Y64" s="53">
        <v>2</v>
      </c>
      <c r="Z64" s="53">
        <v>1</v>
      </c>
      <c r="AA64" s="53">
        <v>1</v>
      </c>
      <c r="AB64" s="53">
        <v>1</v>
      </c>
      <c r="AC64" s="57">
        <v>12</v>
      </c>
      <c r="AD64" s="60">
        <v>486000</v>
      </c>
      <c r="BA64" s="56">
        <f t="shared" ref="BA64:BA127" si="1">AD64*AC64+(AD64*AC64*Q64%)</f>
        <v>6415200</v>
      </c>
    </row>
    <row r="65" spans="1:53">
      <c r="A65" s="53">
        <v>40407180007</v>
      </c>
      <c r="B65" s="57">
        <v>1</v>
      </c>
      <c r="C65" s="58" t="s">
        <v>78</v>
      </c>
      <c r="D65" s="58">
        <v>5</v>
      </c>
      <c r="L65" s="59" t="s">
        <v>293</v>
      </c>
      <c r="M65" s="59" t="s">
        <v>293</v>
      </c>
      <c r="N65" s="55" t="s">
        <v>294</v>
      </c>
      <c r="O65" s="55">
        <v>1</v>
      </c>
      <c r="P65" s="55">
        <v>1627</v>
      </c>
      <c r="Q65" s="55">
        <v>10</v>
      </c>
      <c r="X65" s="53" t="s">
        <v>377</v>
      </c>
      <c r="Y65" s="53">
        <v>2</v>
      </c>
      <c r="Z65" s="53">
        <v>1</v>
      </c>
      <c r="AA65" s="53">
        <v>1</v>
      </c>
      <c r="AB65" s="53">
        <v>1</v>
      </c>
      <c r="AC65" s="57">
        <v>12</v>
      </c>
      <c r="AD65" s="60">
        <v>1180000</v>
      </c>
      <c r="BA65" s="56">
        <f t="shared" si="1"/>
        <v>15576000</v>
      </c>
    </row>
    <row r="66" spans="1:53">
      <c r="A66" s="53">
        <v>40407180007</v>
      </c>
      <c r="B66" s="57">
        <v>1</v>
      </c>
      <c r="C66" s="58" t="s">
        <v>78</v>
      </c>
      <c r="D66" s="58">
        <v>5</v>
      </c>
      <c r="L66" s="59" t="s">
        <v>293</v>
      </c>
      <c r="M66" s="59" t="s">
        <v>293</v>
      </c>
      <c r="N66" s="55" t="s">
        <v>294</v>
      </c>
      <c r="O66" s="55">
        <v>1</v>
      </c>
      <c r="P66" s="55">
        <v>1627</v>
      </c>
      <c r="Q66" s="55">
        <v>10</v>
      </c>
      <c r="X66" s="53" t="s">
        <v>377</v>
      </c>
      <c r="Y66" s="53">
        <v>2</v>
      </c>
      <c r="Z66" s="53">
        <v>1</v>
      </c>
      <c r="AA66" s="53">
        <v>1</v>
      </c>
      <c r="AB66" s="53">
        <v>1</v>
      </c>
      <c r="AC66" s="57">
        <v>6</v>
      </c>
      <c r="AD66" s="60">
        <v>3100000</v>
      </c>
      <c r="BA66" s="56">
        <f t="shared" si="1"/>
        <v>20460000</v>
      </c>
    </row>
    <row r="67" spans="1:53">
      <c r="A67" s="53">
        <v>40407180007</v>
      </c>
      <c r="B67" s="57">
        <v>1</v>
      </c>
      <c r="C67" s="58" t="s">
        <v>78</v>
      </c>
      <c r="D67" s="58">
        <v>5</v>
      </c>
      <c r="L67" s="59" t="s">
        <v>310</v>
      </c>
      <c r="M67" s="59" t="s">
        <v>310</v>
      </c>
      <c r="N67" s="55" t="s">
        <v>311</v>
      </c>
      <c r="O67" s="55">
        <v>1</v>
      </c>
      <c r="P67" s="55">
        <v>1627</v>
      </c>
      <c r="Q67" s="55">
        <v>10</v>
      </c>
      <c r="X67" s="53" t="s">
        <v>377</v>
      </c>
      <c r="Y67" s="53">
        <v>2</v>
      </c>
      <c r="Z67" s="53">
        <v>1</v>
      </c>
      <c r="AA67" s="53">
        <v>1</v>
      </c>
      <c r="AB67" s="53">
        <v>1</v>
      </c>
      <c r="AC67" s="57">
        <v>1</v>
      </c>
      <c r="AD67" s="60">
        <v>2600000</v>
      </c>
      <c r="BA67" s="56">
        <f t="shared" si="1"/>
        <v>2860000</v>
      </c>
    </row>
    <row r="68" spans="1:53">
      <c r="A68" s="53">
        <v>40407180007</v>
      </c>
      <c r="B68" s="57">
        <v>1</v>
      </c>
      <c r="C68" s="58" t="s">
        <v>78</v>
      </c>
      <c r="D68" s="58">
        <v>5</v>
      </c>
      <c r="L68" s="59" t="s">
        <v>334</v>
      </c>
      <c r="M68" s="59" t="s">
        <v>334</v>
      </c>
      <c r="N68" s="55" t="s">
        <v>335</v>
      </c>
      <c r="O68" s="55">
        <v>1</v>
      </c>
      <c r="P68" s="55">
        <v>1627</v>
      </c>
      <c r="Q68" s="55">
        <v>10</v>
      </c>
      <c r="X68" s="53" t="s">
        <v>377</v>
      </c>
      <c r="Y68" s="53">
        <v>2</v>
      </c>
      <c r="Z68" s="53">
        <v>1</v>
      </c>
      <c r="AA68" s="53">
        <v>1</v>
      </c>
      <c r="AB68" s="53">
        <v>1</v>
      </c>
      <c r="AC68" s="57">
        <v>96</v>
      </c>
      <c r="AD68" s="60">
        <v>460000</v>
      </c>
      <c r="BA68" s="56">
        <f t="shared" si="1"/>
        <v>48576000</v>
      </c>
    </row>
    <row r="69" spans="1:53">
      <c r="A69" s="53">
        <v>40407180007</v>
      </c>
      <c r="B69" s="57">
        <v>1</v>
      </c>
      <c r="C69" s="58" t="s">
        <v>78</v>
      </c>
      <c r="D69" s="58">
        <v>5</v>
      </c>
      <c r="L69" s="59" t="s">
        <v>320</v>
      </c>
      <c r="M69" s="59" t="s">
        <v>320</v>
      </c>
      <c r="N69" s="55" t="s">
        <v>321</v>
      </c>
      <c r="O69" s="55">
        <v>1</v>
      </c>
      <c r="P69" s="55">
        <v>1627</v>
      </c>
      <c r="Q69" s="55">
        <v>10</v>
      </c>
      <c r="X69" s="53" t="s">
        <v>377</v>
      </c>
      <c r="Y69" s="53">
        <v>2</v>
      </c>
      <c r="Z69" s="53">
        <v>1</v>
      </c>
      <c r="AA69" s="53">
        <v>1</v>
      </c>
      <c r="AB69" s="53">
        <v>1</v>
      </c>
      <c r="AC69" s="57">
        <v>24</v>
      </c>
      <c r="AD69" s="60">
        <v>405000</v>
      </c>
      <c r="BA69" s="56">
        <f t="shared" si="1"/>
        <v>10692000</v>
      </c>
    </row>
    <row r="70" spans="1:53">
      <c r="A70" s="53">
        <v>40407180007</v>
      </c>
      <c r="B70" s="57">
        <v>1</v>
      </c>
      <c r="C70" s="58" t="s">
        <v>78</v>
      </c>
      <c r="D70" s="58">
        <v>5</v>
      </c>
      <c r="L70" s="59" t="s">
        <v>320</v>
      </c>
      <c r="M70" s="59" t="s">
        <v>320</v>
      </c>
      <c r="N70" s="55" t="s">
        <v>321</v>
      </c>
      <c r="O70" s="55">
        <v>1</v>
      </c>
      <c r="P70" s="55">
        <v>1627</v>
      </c>
      <c r="Q70" s="55">
        <v>10</v>
      </c>
      <c r="X70" s="53" t="s">
        <v>377</v>
      </c>
      <c r="Y70" s="53">
        <v>2</v>
      </c>
      <c r="Z70" s="53">
        <v>1</v>
      </c>
      <c r="AA70" s="53">
        <v>1</v>
      </c>
      <c r="AB70" s="53">
        <v>1</v>
      </c>
      <c r="AC70" s="57">
        <v>24</v>
      </c>
      <c r="AD70" s="60">
        <v>717000</v>
      </c>
      <c r="BA70" s="56">
        <f t="shared" si="1"/>
        <v>18928800</v>
      </c>
    </row>
    <row r="71" spans="1:53">
      <c r="A71" s="53">
        <v>40407180007</v>
      </c>
      <c r="B71" s="57">
        <v>1</v>
      </c>
      <c r="C71" s="58" t="s">
        <v>78</v>
      </c>
      <c r="D71" s="58">
        <v>5</v>
      </c>
      <c r="L71" s="59" t="s">
        <v>267</v>
      </c>
      <c r="M71" s="59" t="s">
        <v>267</v>
      </c>
      <c r="N71" s="55" t="s">
        <v>268</v>
      </c>
      <c r="O71" s="55">
        <v>1</v>
      </c>
      <c r="P71" s="55">
        <v>1627</v>
      </c>
      <c r="Q71" s="55">
        <v>0</v>
      </c>
      <c r="X71" s="53" t="s">
        <v>377</v>
      </c>
      <c r="Y71" s="53">
        <v>2</v>
      </c>
      <c r="Z71" s="53">
        <v>1</v>
      </c>
      <c r="AA71" s="53">
        <v>1</v>
      </c>
      <c r="AB71" s="53">
        <v>1</v>
      </c>
      <c r="AC71" s="57">
        <v>24</v>
      </c>
      <c r="AD71" s="60">
        <v>5170000</v>
      </c>
      <c r="BA71" s="56">
        <f t="shared" si="1"/>
        <v>124080000</v>
      </c>
    </row>
    <row r="72" spans="1:53">
      <c r="A72" s="53">
        <v>40407180008</v>
      </c>
      <c r="B72" s="57">
        <v>1</v>
      </c>
      <c r="C72" s="58" t="s">
        <v>78</v>
      </c>
      <c r="D72" s="58">
        <v>5</v>
      </c>
      <c r="L72" s="59" t="s">
        <v>297</v>
      </c>
      <c r="M72" s="59" t="s">
        <v>297</v>
      </c>
      <c r="N72" s="55" t="s">
        <v>298</v>
      </c>
      <c r="O72" s="55">
        <v>1</v>
      </c>
      <c r="P72" s="55">
        <v>1627</v>
      </c>
      <c r="Q72" s="55">
        <v>10</v>
      </c>
      <c r="X72" s="53" t="s">
        <v>377</v>
      </c>
      <c r="Y72" s="53">
        <v>2</v>
      </c>
      <c r="Z72" s="53">
        <v>1</v>
      </c>
      <c r="AA72" s="53">
        <v>1</v>
      </c>
      <c r="AB72" s="53">
        <v>1</v>
      </c>
      <c r="AC72" s="57">
        <v>4</v>
      </c>
      <c r="AD72" s="60">
        <v>5050000</v>
      </c>
      <c r="BA72" s="56">
        <f t="shared" si="1"/>
        <v>22220000</v>
      </c>
    </row>
    <row r="73" spans="1:53">
      <c r="A73" s="53">
        <v>40407180008</v>
      </c>
      <c r="B73" s="57">
        <v>1</v>
      </c>
      <c r="C73" s="58" t="s">
        <v>78</v>
      </c>
      <c r="D73" s="58">
        <v>5</v>
      </c>
      <c r="L73" s="59" t="s">
        <v>299</v>
      </c>
      <c r="M73" s="59" t="s">
        <v>299</v>
      </c>
      <c r="N73" s="55" t="s">
        <v>300</v>
      </c>
      <c r="O73" s="55">
        <v>1</v>
      </c>
      <c r="P73" s="55">
        <v>1627</v>
      </c>
      <c r="Q73" s="55">
        <v>10</v>
      </c>
      <c r="X73" s="53" t="s">
        <v>377</v>
      </c>
      <c r="Y73" s="53">
        <v>2</v>
      </c>
      <c r="Z73" s="53">
        <v>1</v>
      </c>
      <c r="AA73" s="53">
        <v>1</v>
      </c>
      <c r="AB73" s="53">
        <v>1</v>
      </c>
      <c r="AC73" s="57">
        <v>1</v>
      </c>
      <c r="AD73" s="60">
        <v>7760000</v>
      </c>
      <c r="BA73" s="56">
        <f t="shared" si="1"/>
        <v>8536000</v>
      </c>
    </row>
    <row r="74" spans="1:53">
      <c r="A74" s="53">
        <v>40407180008</v>
      </c>
      <c r="B74" s="57">
        <v>1</v>
      </c>
      <c r="C74" s="58" t="s">
        <v>78</v>
      </c>
      <c r="D74" s="58">
        <v>5</v>
      </c>
      <c r="L74" s="59" t="s">
        <v>336</v>
      </c>
      <c r="M74" s="59" t="s">
        <v>336</v>
      </c>
      <c r="N74" s="55" t="s">
        <v>337</v>
      </c>
      <c r="O74" s="55">
        <v>1</v>
      </c>
      <c r="P74" s="55">
        <v>1627</v>
      </c>
      <c r="Q74" s="55">
        <v>10</v>
      </c>
      <c r="X74" s="53" t="s">
        <v>377</v>
      </c>
      <c r="Y74" s="53">
        <v>2</v>
      </c>
      <c r="Z74" s="53">
        <v>1</v>
      </c>
      <c r="AA74" s="53">
        <v>1</v>
      </c>
      <c r="AB74" s="53">
        <v>1</v>
      </c>
      <c r="AC74" s="57">
        <v>100</v>
      </c>
      <c r="AD74" s="60">
        <v>556000</v>
      </c>
      <c r="BA74" s="56">
        <f t="shared" si="1"/>
        <v>61160000</v>
      </c>
    </row>
    <row r="75" spans="1:53">
      <c r="A75" s="53">
        <v>40407180008</v>
      </c>
      <c r="B75" s="57">
        <v>1</v>
      </c>
      <c r="C75" s="58" t="s">
        <v>78</v>
      </c>
      <c r="D75" s="58">
        <v>5</v>
      </c>
      <c r="L75" s="59" t="s">
        <v>308</v>
      </c>
      <c r="M75" s="59" t="s">
        <v>308</v>
      </c>
      <c r="N75" s="55" t="s">
        <v>309</v>
      </c>
      <c r="O75" s="55">
        <v>1</v>
      </c>
      <c r="P75" s="55">
        <v>1627</v>
      </c>
      <c r="Q75" s="55">
        <v>10</v>
      </c>
      <c r="X75" s="53" t="s">
        <v>377</v>
      </c>
      <c r="Y75" s="53">
        <v>2</v>
      </c>
      <c r="Z75" s="53">
        <v>1</v>
      </c>
      <c r="AA75" s="53">
        <v>1</v>
      </c>
      <c r="AB75" s="53">
        <v>1</v>
      </c>
      <c r="AC75" s="57">
        <v>15</v>
      </c>
      <c r="AD75" s="60">
        <v>500000</v>
      </c>
      <c r="BA75" s="56">
        <f t="shared" si="1"/>
        <v>8250000</v>
      </c>
    </row>
    <row r="76" spans="1:53">
      <c r="A76" s="53">
        <v>40407180008</v>
      </c>
      <c r="B76" s="57">
        <v>1</v>
      </c>
      <c r="C76" s="58" t="s">
        <v>78</v>
      </c>
      <c r="D76" s="58">
        <v>5</v>
      </c>
      <c r="L76" s="59" t="s">
        <v>308</v>
      </c>
      <c r="M76" s="59" t="s">
        <v>308</v>
      </c>
      <c r="N76" s="55" t="s">
        <v>309</v>
      </c>
      <c r="O76" s="55">
        <v>1</v>
      </c>
      <c r="P76" s="55">
        <v>1627</v>
      </c>
      <c r="Q76" s="55">
        <v>10</v>
      </c>
      <c r="X76" s="53" t="s">
        <v>377</v>
      </c>
      <c r="Y76" s="53">
        <v>2</v>
      </c>
      <c r="Z76" s="53">
        <v>1</v>
      </c>
      <c r="AA76" s="53">
        <v>1</v>
      </c>
      <c r="AB76" s="53">
        <v>1</v>
      </c>
      <c r="AC76" s="57">
        <v>8</v>
      </c>
      <c r="AD76" s="60">
        <v>2400000</v>
      </c>
      <c r="BA76" s="56">
        <f t="shared" si="1"/>
        <v>21120000</v>
      </c>
    </row>
    <row r="77" spans="1:53">
      <c r="A77" s="53">
        <v>40407180008</v>
      </c>
      <c r="B77" s="57">
        <v>1</v>
      </c>
      <c r="C77" s="58" t="s">
        <v>78</v>
      </c>
      <c r="D77" s="58">
        <v>5</v>
      </c>
      <c r="L77" s="59" t="s">
        <v>308</v>
      </c>
      <c r="M77" s="59" t="s">
        <v>308</v>
      </c>
      <c r="N77" s="55" t="s">
        <v>309</v>
      </c>
      <c r="O77" s="55">
        <v>1</v>
      </c>
      <c r="P77" s="55">
        <v>1627</v>
      </c>
      <c r="Q77" s="55">
        <v>10</v>
      </c>
      <c r="X77" s="53" t="s">
        <v>377</v>
      </c>
      <c r="Y77" s="53">
        <v>2</v>
      </c>
      <c r="Z77" s="53">
        <v>1</v>
      </c>
      <c r="AA77" s="53">
        <v>1</v>
      </c>
      <c r="AB77" s="53">
        <v>1</v>
      </c>
      <c r="AC77" s="57">
        <v>8</v>
      </c>
      <c r="AD77" s="60">
        <v>3000000</v>
      </c>
      <c r="BA77" s="56">
        <f t="shared" si="1"/>
        <v>26400000</v>
      </c>
    </row>
    <row r="78" spans="1:53">
      <c r="A78" s="53">
        <v>40407180008</v>
      </c>
      <c r="B78" s="57">
        <v>1</v>
      </c>
      <c r="C78" s="58" t="s">
        <v>78</v>
      </c>
      <c r="D78" s="58">
        <v>5</v>
      </c>
      <c r="L78" s="59" t="s">
        <v>338</v>
      </c>
      <c r="M78" s="59" t="s">
        <v>338</v>
      </c>
      <c r="N78" s="55" t="s">
        <v>339</v>
      </c>
      <c r="O78" s="55">
        <v>1</v>
      </c>
      <c r="P78" s="55">
        <v>1627</v>
      </c>
      <c r="Q78" s="55">
        <v>0</v>
      </c>
      <c r="X78" s="53" t="s">
        <v>377</v>
      </c>
      <c r="Y78" s="53">
        <v>2</v>
      </c>
      <c r="Z78" s="53">
        <v>1</v>
      </c>
      <c r="AA78" s="53">
        <v>1</v>
      </c>
      <c r="AB78" s="53">
        <v>1</v>
      </c>
      <c r="AC78" s="57">
        <v>10</v>
      </c>
      <c r="AD78" s="60">
        <v>2040000</v>
      </c>
      <c r="BA78" s="56">
        <f t="shared" si="1"/>
        <v>20400000</v>
      </c>
    </row>
    <row r="79" spans="1:53">
      <c r="A79" s="53">
        <v>40407180008</v>
      </c>
      <c r="B79" s="57">
        <v>1</v>
      </c>
      <c r="C79" s="58" t="s">
        <v>78</v>
      </c>
      <c r="D79" s="58">
        <v>5</v>
      </c>
      <c r="L79" s="59" t="s">
        <v>340</v>
      </c>
      <c r="M79" s="59" t="s">
        <v>340</v>
      </c>
      <c r="N79" s="55" t="s">
        <v>341</v>
      </c>
      <c r="O79" s="55">
        <v>1</v>
      </c>
      <c r="P79" s="55">
        <v>1627</v>
      </c>
      <c r="Q79" s="55">
        <v>0</v>
      </c>
      <c r="X79" s="53" t="s">
        <v>377</v>
      </c>
      <c r="Y79" s="53">
        <v>2</v>
      </c>
      <c r="Z79" s="53">
        <v>1</v>
      </c>
      <c r="AA79" s="53">
        <v>1</v>
      </c>
      <c r="AB79" s="53">
        <v>1</v>
      </c>
      <c r="AC79" s="57">
        <v>18</v>
      </c>
      <c r="AD79" s="60">
        <v>1543000</v>
      </c>
      <c r="BA79" s="56">
        <f t="shared" si="1"/>
        <v>27774000</v>
      </c>
    </row>
    <row r="80" spans="1:53">
      <c r="A80" s="53">
        <v>40407180008</v>
      </c>
      <c r="B80" s="57">
        <v>1</v>
      </c>
      <c r="C80" s="58" t="s">
        <v>78</v>
      </c>
      <c r="D80" s="58">
        <v>5</v>
      </c>
      <c r="L80" s="59" t="s">
        <v>342</v>
      </c>
      <c r="M80" s="59" t="s">
        <v>342</v>
      </c>
      <c r="N80" s="55" t="s">
        <v>343</v>
      </c>
      <c r="O80" s="55">
        <v>1</v>
      </c>
      <c r="P80" s="55">
        <v>1627</v>
      </c>
      <c r="Q80" s="55">
        <v>10</v>
      </c>
      <c r="X80" s="53" t="s">
        <v>377</v>
      </c>
      <c r="Y80" s="53">
        <v>2</v>
      </c>
      <c r="Z80" s="53">
        <v>1</v>
      </c>
      <c r="AA80" s="53">
        <v>1</v>
      </c>
      <c r="AB80" s="53">
        <v>1</v>
      </c>
      <c r="AC80" s="57">
        <v>6</v>
      </c>
      <c r="AD80" s="60">
        <v>585000</v>
      </c>
      <c r="BA80" s="56">
        <f t="shared" si="1"/>
        <v>3861000</v>
      </c>
    </row>
    <row r="81" spans="1:53">
      <c r="A81" s="53">
        <v>40407180008</v>
      </c>
      <c r="B81" s="57">
        <v>1</v>
      </c>
      <c r="C81" s="58" t="s">
        <v>78</v>
      </c>
      <c r="D81" s="58">
        <v>5</v>
      </c>
      <c r="L81" s="59" t="s">
        <v>273</v>
      </c>
      <c r="M81" s="59" t="s">
        <v>273</v>
      </c>
      <c r="N81" s="55" t="s">
        <v>344</v>
      </c>
      <c r="O81" s="55">
        <v>1</v>
      </c>
      <c r="P81" s="55">
        <v>1627</v>
      </c>
      <c r="Q81" s="55">
        <v>10</v>
      </c>
      <c r="X81" s="53" t="s">
        <v>377</v>
      </c>
      <c r="Y81" s="53">
        <v>2</v>
      </c>
      <c r="Z81" s="53">
        <v>1</v>
      </c>
      <c r="AA81" s="53">
        <v>1</v>
      </c>
      <c r="AB81" s="53">
        <v>1</v>
      </c>
      <c r="AC81" s="57">
        <v>1</v>
      </c>
      <c r="AD81" s="60">
        <v>1100000</v>
      </c>
      <c r="BA81" s="56">
        <f t="shared" si="1"/>
        <v>1210000</v>
      </c>
    </row>
    <row r="82" spans="1:53">
      <c r="A82" s="53">
        <v>40407180009</v>
      </c>
      <c r="B82" s="57">
        <v>1</v>
      </c>
      <c r="C82" s="58" t="s">
        <v>78</v>
      </c>
      <c r="D82" s="58">
        <v>5</v>
      </c>
      <c r="L82" s="59" t="s">
        <v>345</v>
      </c>
      <c r="M82" s="59" t="s">
        <v>345</v>
      </c>
      <c r="N82" s="55" t="s">
        <v>346</v>
      </c>
      <c r="O82" s="55">
        <v>1</v>
      </c>
      <c r="P82" s="55">
        <v>1627</v>
      </c>
      <c r="Q82" s="55">
        <v>10</v>
      </c>
      <c r="X82" s="53" t="s">
        <v>377</v>
      </c>
      <c r="Y82" s="53">
        <v>2</v>
      </c>
      <c r="Z82" s="53">
        <v>1</v>
      </c>
      <c r="AA82" s="53">
        <v>1</v>
      </c>
      <c r="AB82" s="53">
        <v>1</v>
      </c>
      <c r="AC82" s="57">
        <v>20</v>
      </c>
      <c r="AD82" s="60">
        <v>620000</v>
      </c>
      <c r="BA82" s="56">
        <f t="shared" si="1"/>
        <v>13640000</v>
      </c>
    </row>
    <row r="83" spans="1:53">
      <c r="A83" s="53">
        <v>40407180009</v>
      </c>
      <c r="B83" s="57">
        <v>1</v>
      </c>
      <c r="C83" s="58" t="s">
        <v>78</v>
      </c>
      <c r="D83" s="58">
        <v>5</v>
      </c>
      <c r="L83" s="59" t="s">
        <v>347</v>
      </c>
      <c r="M83" s="59" t="s">
        <v>347</v>
      </c>
      <c r="N83" s="55" t="s">
        <v>348</v>
      </c>
      <c r="O83" s="55">
        <v>1</v>
      </c>
      <c r="P83" s="55">
        <v>1627</v>
      </c>
      <c r="Q83" s="55">
        <v>10</v>
      </c>
      <c r="X83" s="53" t="s">
        <v>377</v>
      </c>
      <c r="Y83" s="53">
        <v>2</v>
      </c>
      <c r="Z83" s="53">
        <v>1</v>
      </c>
      <c r="AA83" s="53">
        <v>1</v>
      </c>
      <c r="AB83" s="53">
        <v>1</v>
      </c>
      <c r="AC83" s="57">
        <v>12</v>
      </c>
      <c r="AD83" s="60">
        <v>870000</v>
      </c>
      <c r="BA83" s="56">
        <f t="shared" si="1"/>
        <v>11484000</v>
      </c>
    </row>
    <row r="84" spans="1:53">
      <c r="A84" s="53">
        <v>40407180009</v>
      </c>
      <c r="B84" s="57">
        <v>1</v>
      </c>
      <c r="C84" s="58" t="s">
        <v>78</v>
      </c>
      <c r="D84" s="58">
        <v>5</v>
      </c>
      <c r="L84" s="59" t="s">
        <v>347</v>
      </c>
      <c r="M84" s="59" t="s">
        <v>347</v>
      </c>
      <c r="N84" s="55" t="s">
        <v>348</v>
      </c>
      <c r="O84" s="55">
        <v>1</v>
      </c>
      <c r="P84" s="55">
        <v>1627</v>
      </c>
      <c r="Q84" s="55">
        <v>10</v>
      </c>
      <c r="X84" s="53" t="s">
        <v>377</v>
      </c>
      <c r="Y84" s="53">
        <v>2</v>
      </c>
      <c r="Z84" s="53">
        <v>1</v>
      </c>
      <c r="AA84" s="53">
        <v>1</v>
      </c>
      <c r="AB84" s="53">
        <v>1</v>
      </c>
      <c r="AC84" s="57">
        <v>12</v>
      </c>
      <c r="AD84" s="60">
        <v>920000</v>
      </c>
      <c r="BA84" s="56">
        <f t="shared" si="1"/>
        <v>12144000</v>
      </c>
    </row>
    <row r="85" spans="1:53">
      <c r="A85" s="53">
        <v>40407180009</v>
      </c>
      <c r="B85" s="57">
        <v>1</v>
      </c>
      <c r="C85" s="58" t="s">
        <v>78</v>
      </c>
      <c r="D85" s="58">
        <v>5</v>
      </c>
      <c r="L85" s="59" t="s">
        <v>349</v>
      </c>
      <c r="M85" s="59" t="s">
        <v>349</v>
      </c>
      <c r="N85" s="55" t="s">
        <v>350</v>
      </c>
      <c r="O85" s="55">
        <v>1</v>
      </c>
      <c r="P85" s="55">
        <v>1627</v>
      </c>
      <c r="Q85" s="55">
        <v>10</v>
      </c>
      <c r="X85" s="53" t="s">
        <v>377</v>
      </c>
      <c r="Y85" s="53">
        <v>2</v>
      </c>
      <c r="Z85" s="53">
        <v>1</v>
      </c>
      <c r="AA85" s="53">
        <v>1</v>
      </c>
      <c r="AB85" s="53">
        <v>1</v>
      </c>
      <c r="AC85" s="57">
        <v>24</v>
      </c>
      <c r="AD85" s="60">
        <v>840000</v>
      </c>
      <c r="BA85" s="56">
        <f t="shared" si="1"/>
        <v>22176000</v>
      </c>
    </row>
    <row r="86" spans="1:53">
      <c r="A86" s="53">
        <v>40407180009</v>
      </c>
      <c r="B86" s="57">
        <v>1</v>
      </c>
      <c r="C86" s="58" t="s">
        <v>78</v>
      </c>
      <c r="D86" s="58">
        <v>5</v>
      </c>
      <c r="L86" s="59" t="s">
        <v>351</v>
      </c>
      <c r="M86" s="59" t="s">
        <v>351</v>
      </c>
      <c r="N86" s="55" t="s">
        <v>352</v>
      </c>
      <c r="O86" s="55">
        <v>1</v>
      </c>
      <c r="P86" s="55">
        <v>1627</v>
      </c>
      <c r="Q86" s="55">
        <v>10</v>
      </c>
      <c r="X86" s="53" t="s">
        <v>377</v>
      </c>
      <c r="Y86" s="53">
        <v>2</v>
      </c>
      <c r="Z86" s="53">
        <v>1</v>
      </c>
      <c r="AA86" s="53">
        <v>1</v>
      </c>
      <c r="AB86" s="53">
        <v>1</v>
      </c>
      <c r="AC86" s="57">
        <v>10</v>
      </c>
      <c r="AD86" s="60">
        <v>740000</v>
      </c>
      <c r="BA86" s="56">
        <f t="shared" si="1"/>
        <v>8140000</v>
      </c>
    </row>
    <row r="87" spans="1:53">
      <c r="A87" s="53">
        <v>40407180009</v>
      </c>
      <c r="B87" s="57">
        <v>1</v>
      </c>
      <c r="C87" s="58" t="s">
        <v>78</v>
      </c>
      <c r="D87" s="58">
        <v>5</v>
      </c>
      <c r="L87" s="59" t="s">
        <v>273</v>
      </c>
      <c r="M87" s="59" t="s">
        <v>273</v>
      </c>
      <c r="N87" s="55" t="s">
        <v>274</v>
      </c>
      <c r="O87" s="55">
        <v>1</v>
      </c>
      <c r="P87" s="55">
        <v>1627</v>
      </c>
      <c r="Q87" s="55">
        <v>10</v>
      </c>
      <c r="X87" s="53" t="s">
        <v>377</v>
      </c>
      <c r="Y87" s="53">
        <v>2</v>
      </c>
      <c r="Z87" s="53">
        <v>1</v>
      </c>
      <c r="AA87" s="53">
        <v>1</v>
      </c>
      <c r="AB87" s="53">
        <v>1</v>
      </c>
      <c r="AC87" s="57">
        <v>5</v>
      </c>
      <c r="AD87" s="60">
        <v>750000</v>
      </c>
      <c r="BA87" s="56">
        <f t="shared" si="1"/>
        <v>4125000</v>
      </c>
    </row>
    <row r="88" spans="1:53">
      <c r="A88" s="53">
        <v>40407180009</v>
      </c>
      <c r="B88" s="57">
        <v>1</v>
      </c>
      <c r="C88" s="58" t="s">
        <v>78</v>
      </c>
      <c r="D88" s="58">
        <v>5</v>
      </c>
      <c r="L88" s="59" t="s">
        <v>353</v>
      </c>
      <c r="M88" s="59" t="s">
        <v>353</v>
      </c>
      <c r="N88" s="55" t="s">
        <v>354</v>
      </c>
      <c r="O88" s="55">
        <v>1</v>
      </c>
      <c r="P88" s="55">
        <v>1627</v>
      </c>
      <c r="Q88" s="55">
        <v>10</v>
      </c>
      <c r="X88" s="53" t="s">
        <v>377</v>
      </c>
      <c r="Y88" s="53">
        <v>2</v>
      </c>
      <c r="Z88" s="53">
        <v>1</v>
      </c>
      <c r="AA88" s="53">
        <v>1</v>
      </c>
      <c r="AB88" s="53">
        <v>1</v>
      </c>
      <c r="AC88" s="57">
        <v>4</v>
      </c>
      <c r="AD88" s="60">
        <v>1680000</v>
      </c>
      <c r="BA88" s="56">
        <f t="shared" si="1"/>
        <v>7392000</v>
      </c>
    </row>
    <row r="89" spans="1:53">
      <c r="A89" s="53">
        <v>40407180009</v>
      </c>
      <c r="B89" s="57">
        <v>1</v>
      </c>
      <c r="C89" s="58" t="s">
        <v>78</v>
      </c>
      <c r="D89" s="58">
        <v>5</v>
      </c>
      <c r="L89" s="59" t="s">
        <v>355</v>
      </c>
      <c r="M89" s="59" t="s">
        <v>355</v>
      </c>
      <c r="N89" s="55" t="s">
        <v>356</v>
      </c>
      <c r="O89" s="55">
        <v>1</v>
      </c>
      <c r="P89" s="55">
        <v>1627</v>
      </c>
      <c r="Q89" s="55">
        <v>10</v>
      </c>
      <c r="X89" s="53" t="s">
        <v>377</v>
      </c>
      <c r="Y89" s="53">
        <v>2</v>
      </c>
      <c r="Z89" s="53">
        <v>1</v>
      </c>
      <c r="AA89" s="53">
        <v>1</v>
      </c>
      <c r="AB89" s="53">
        <v>1</v>
      </c>
      <c r="AC89" s="57">
        <v>9</v>
      </c>
      <c r="AD89" s="60">
        <v>1160000</v>
      </c>
      <c r="BA89" s="56">
        <f t="shared" si="1"/>
        <v>11484000</v>
      </c>
    </row>
    <row r="90" spans="1:53">
      <c r="A90" s="53">
        <v>40407180009</v>
      </c>
      <c r="B90" s="57">
        <v>1</v>
      </c>
      <c r="C90" s="58" t="s">
        <v>78</v>
      </c>
      <c r="D90" s="58">
        <v>5</v>
      </c>
      <c r="L90" s="59" t="s">
        <v>355</v>
      </c>
      <c r="M90" s="59" t="s">
        <v>355</v>
      </c>
      <c r="N90" s="55" t="s">
        <v>356</v>
      </c>
      <c r="O90" s="55">
        <v>1</v>
      </c>
      <c r="P90" s="55">
        <v>1627</v>
      </c>
      <c r="Q90" s="55">
        <v>10</v>
      </c>
      <c r="X90" s="53" t="s">
        <v>377</v>
      </c>
      <c r="Y90" s="53">
        <v>2</v>
      </c>
      <c r="Z90" s="53">
        <v>1</v>
      </c>
      <c r="AA90" s="53">
        <v>1</v>
      </c>
      <c r="AB90" s="53">
        <v>1</v>
      </c>
      <c r="AC90" s="57">
        <v>12</v>
      </c>
      <c r="AD90" s="60">
        <v>600000</v>
      </c>
      <c r="BA90" s="56">
        <f t="shared" si="1"/>
        <v>7920000</v>
      </c>
    </row>
    <row r="91" spans="1:53">
      <c r="A91" s="53">
        <v>40407180009</v>
      </c>
      <c r="B91" s="57">
        <v>1</v>
      </c>
      <c r="C91" s="58" t="s">
        <v>78</v>
      </c>
      <c r="D91" s="58">
        <v>5</v>
      </c>
      <c r="L91" s="59" t="s">
        <v>357</v>
      </c>
      <c r="M91" s="59" t="s">
        <v>357</v>
      </c>
      <c r="N91" s="55" t="s">
        <v>358</v>
      </c>
      <c r="O91" s="55">
        <v>1</v>
      </c>
      <c r="P91" s="55">
        <v>1627</v>
      </c>
      <c r="Q91" s="55">
        <v>10</v>
      </c>
      <c r="X91" s="53" t="s">
        <v>377</v>
      </c>
      <c r="Y91" s="53">
        <v>2</v>
      </c>
      <c r="Z91" s="53">
        <v>1</v>
      </c>
      <c r="AA91" s="53">
        <v>1</v>
      </c>
      <c r="AB91" s="53">
        <v>1</v>
      </c>
      <c r="AC91" s="57">
        <v>10</v>
      </c>
      <c r="AD91" s="60">
        <v>380000</v>
      </c>
      <c r="BA91" s="56">
        <f t="shared" si="1"/>
        <v>4180000</v>
      </c>
    </row>
    <row r="92" spans="1:53">
      <c r="A92" s="53">
        <v>40407180010</v>
      </c>
      <c r="B92" s="57">
        <v>1</v>
      </c>
      <c r="C92" s="58" t="s">
        <v>78</v>
      </c>
      <c r="D92" s="58">
        <v>5</v>
      </c>
      <c r="L92" s="59" t="s">
        <v>320</v>
      </c>
      <c r="M92" s="59" t="s">
        <v>320</v>
      </c>
      <c r="N92" s="55" t="s">
        <v>321</v>
      </c>
      <c r="O92" s="55">
        <v>1</v>
      </c>
      <c r="P92" s="55">
        <v>1627</v>
      </c>
      <c r="Q92" s="55">
        <v>10</v>
      </c>
      <c r="X92" s="53" t="s">
        <v>377</v>
      </c>
      <c r="Y92" s="53">
        <v>2</v>
      </c>
      <c r="Z92" s="53">
        <v>1</v>
      </c>
      <c r="AA92" s="53">
        <v>1</v>
      </c>
      <c r="AB92" s="53">
        <v>1</v>
      </c>
      <c r="AC92" s="57">
        <v>5</v>
      </c>
      <c r="AD92" s="60">
        <v>430000</v>
      </c>
      <c r="BA92" s="56">
        <f t="shared" si="1"/>
        <v>2365000</v>
      </c>
    </row>
    <row r="93" spans="1:53">
      <c r="A93" s="53">
        <v>40407180010</v>
      </c>
      <c r="B93" s="57">
        <v>1</v>
      </c>
      <c r="C93" s="58" t="s">
        <v>78</v>
      </c>
      <c r="D93" s="58">
        <v>5</v>
      </c>
      <c r="L93" s="59" t="s">
        <v>320</v>
      </c>
      <c r="M93" s="59" t="s">
        <v>320</v>
      </c>
      <c r="N93" s="55" t="s">
        <v>321</v>
      </c>
      <c r="O93" s="55">
        <v>1</v>
      </c>
      <c r="P93" s="55">
        <v>1627</v>
      </c>
      <c r="Q93" s="55">
        <v>10</v>
      </c>
      <c r="X93" s="53" t="s">
        <v>377</v>
      </c>
      <c r="Y93" s="53">
        <v>2</v>
      </c>
      <c r="Z93" s="53">
        <v>1</v>
      </c>
      <c r="AA93" s="53">
        <v>1</v>
      </c>
      <c r="AB93" s="53">
        <v>1</v>
      </c>
      <c r="AC93" s="57">
        <v>5</v>
      </c>
      <c r="AD93" s="60">
        <v>940000</v>
      </c>
      <c r="BA93" s="56">
        <f t="shared" si="1"/>
        <v>5170000</v>
      </c>
    </row>
    <row r="94" spans="1:53">
      <c r="A94" s="53">
        <v>40407180010</v>
      </c>
      <c r="B94" s="57">
        <v>1</v>
      </c>
      <c r="C94" s="58" t="s">
        <v>78</v>
      </c>
      <c r="D94" s="58">
        <v>5</v>
      </c>
      <c r="L94" s="59" t="s">
        <v>320</v>
      </c>
      <c r="M94" s="59" t="s">
        <v>320</v>
      </c>
      <c r="N94" s="55" t="s">
        <v>321</v>
      </c>
      <c r="O94" s="55">
        <v>1</v>
      </c>
      <c r="P94" s="55">
        <v>1627</v>
      </c>
      <c r="Q94" s="55">
        <v>10</v>
      </c>
      <c r="X94" s="53" t="s">
        <v>377</v>
      </c>
      <c r="Y94" s="53">
        <v>2</v>
      </c>
      <c r="Z94" s="53">
        <v>1</v>
      </c>
      <c r="AA94" s="53">
        <v>1</v>
      </c>
      <c r="AB94" s="53">
        <v>1</v>
      </c>
      <c r="AC94" s="57">
        <v>8</v>
      </c>
      <c r="AD94" s="60">
        <v>810000</v>
      </c>
      <c r="BA94" s="56">
        <f t="shared" si="1"/>
        <v>7128000</v>
      </c>
    </row>
    <row r="95" spans="1:53">
      <c r="A95" s="53">
        <v>40407180010</v>
      </c>
      <c r="B95" s="57">
        <v>1</v>
      </c>
      <c r="C95" s="58" t="s">
        <v>78</v>
      </c>
      <c r="D95" s="58">
        <v>5</v>
      </c>
      <c r="L95" s="59" t="s">
        <v>324</v>
      </c>
      <c r="M95" s="59" t="s">
        <v>324</v>
      </c>
      <c r="N95" s="55" t="s">
        <v>325</v>
      </c>
      <c r="O95" s="55">
        <v>1</v>
      </c>
      <c r="P95" s="55">
        <v>1627</v>
      </c>
      <c r="Q95" s="55">
        <v>10</v>
      </c>
      <c r="X95" s="53" t="s">
        <v>377</v>
      </c>
      <c r="Y95" s="53">
        <v>2</v>
      </c>
      <c r="Z95" s="53">
        <v>1</v>
      </c>
      <c r="AA95" s="53">
        <v>1</v>
      </c>
      <c r="AB95" s="53">
        <v>1</v>
      </c>
      <c r="AC95" s="57">
        <v>6</v>
      </c>
      <c r="AD95" s="60">
        <v>370000</v>
      </c>
      <c r="BA95" s="56">
        <f t="shared" si="1"/>
        <v>2442000</v>
      </c>
    </row>
    <row r="96" spans="1:53">
      <c r="A96" s="53">
        <v>40407180010</v>
      </c>
      <c r="B96" s="57">
        <v>1</v>
      </c>
      <c r="C96" s="58" t="s">
        <v>78</v>
      </c>
      <c r="D96" s="58">
        <v>5</v>
      </c>
      <c r="L96" s="59" t="s">
        <v>308</v>
      </c>
      <c r="M96" s="59" t="s">
        <v>308</v>
      </c>
      <c r="N96" s="55" t="s">
        <v>309</v>
      </c>
      <c r="O96" s="55">
        <v>1</v>
      </c>
      <c r="P96" s="55">
        <v>1627</v>
      </c>
      <c r="Q96" s="55">
        <v>10</v>
      </c>
      <c r="X96" s="53" t="s">
        <v>377</v>
      </c>
      <c r="Y96" s="53">
        <v>2</v>
      </c>
      <c r="Z96" s="53">
        <v>1</v>
      </c>
      <c r="AA96" s="53">
        <v>1</v>
      </c>
      <c r="AB96" s="53">
        <v>1</v>
      </c>
      <c r="AC96" s="57">
        <v>15</v>
      </c>
      <c r="AD96" s="60">
        <v>920000</v>
      </c>
      <c r="BA96" s="56">
        <f t="shared" si="1"/>
        <v>15180000</v>
      </c>
    </row>
    <row r="97" spans="1:53">
      <c r="A97" s="53">
        <v>40407180010</v>
      </c>
      <c r="B97" s="57">
        <v>1</v>
      </c>
      <c r="C97" s="58" t="s">
        <v>78</v>
      </c>
      <c r="D97" s="58">
        <v>5</v>
      </c>
      <c r="L97" s="59" t="s">
        <v>299</v>
      </c>
      <c r="M97" s="59" t="s">
        <v>299</v>
      </c>
      <c r="N97" s="55" t="s">
        <v>301</v>
      </c>
      <c r="O97" s="55">
        <v>1</v>
      </c>
      <c r="P97" s="55">
        <v>1627</v>
      </c>
      <c r="Q97" s="55">
        <v>10</v>
      </c>
      <c r="X97" s="53" t="s">
        <v>377</v>
      </c>
      <c r="Y97" s="53">
        <v>2</v>
      </c>
      <c r="Z97" s="53">
        <v>1</v>
      </c>
      <c r="AA97" s="53">
        <v>1</v>
      </c>
      <c r="AB97" s="53">
        <v>1</v>
      </c>
      <c r="AC97" s="57">
        <v>1</v>
      </c>
      <c r="AD97" s="60">
        <v>12080000</v>
      </c>
      <c r="BA97" s="56">
        <f t="shared" si="1"/>
        <v>13288000</v>
      </c>
    </row>
    <row r="98" spans="1:53">
      <c r="A98" s="53">
        <v>40407180010</v>
      </c>
      <c r="B98" s="57">
        <v>1</v>
      </c>
      <c r="C98" s="58" t="s">
        <v>78</v>
      </c>
      <c r="D98" s="58">
        <v>5</v>
      </c>
      <c r="L98" s="59" t="s">
        <v>308</v>
      </c>
      <c r="M98" s="59" t="s">
        <v>308</v>
      </c>
      <c r="N98" s="55" t="s">
        <v>309</v>
      </c>
      <c r="O98" s="55">
        <v>1</v>
      </c>
      <c r="P98" s="55">
        <v>1627</v>
      </c>
      <c r="Q98" s="55">
        <v>10</v>
      </c>
      <c r="X98" s="53" t="s">
        <v>377</v>
      </c>
      <c r="Y98" s="53">
        <v>2</v>
      </c>
      <c r="Z98" s="53">
        <v>1</v>
      </c>
      <c r="AA98" s="53">
        <v>1</v>
      </c>
      <c r="AB98" s="53">
        <v>1</v>
      </c>
      <c r="AC98" s="57">
        <v>15</v>
      </c>
      <c r="AD98" s="60">
        <v>890000</v>
      </c>
      <c r="BA98" s="56">
        <f t="shared" si="1"/>
        <v>14685000</v>
      </c>
    </row>
    <row r="99" spans="1:53">
      <c r="A99" s="53">
        <v>40407180010</v>
      </c>
      <c r="B99" s="57">
        <v>1</v>
      </c>
      <c r="C99" s="58" t="s">
        <v>78</v>
      </c>
      <c r="D99" s="58">
        <v>5</v>
      </c>
      <c r="L99" s="59" t="s">
        <v>295</v>
      </c>
      <c r="M99" s="59" t="s">
        <v>295</v>
      </c>
      <c r="N99" s="55" t="s">
        <v>296</v>
      </c>
      <c r="O99" s="55">
        <v>1</v>
      </c>
      <c r="P99" s="55">
        <v>1627</v>
      </c>
      <c r="Q99" s="55">
        <v>10</v>
      </c>
      <c r="X99" s="53" t="s">
        <v>377</v>
      </c>
      <c r="Y99" s="53">
        <v>2</v>
      </c>
      <c r="Z99" s="53">
        <v>1</v>
      </c>
      <c r="AA99" s="53">
        <v>1</v>
      </c>
      <c r="AB99" s="53">
        <v>1</v>
      </c>
      <c r="AC99" s="57">
        <v>12</v>
      </c>
      <c r="AD99" s="60">
        <v>1100000</v>
      </c>
      <c r="BA99" s="56">
        <f t="shared" si="1"/>
        <v>14520000</v>
      </c>
    </row>
    <row r="100" spans="1:53">
      <c r="A100" s="53">
        <v>40407180010</v>
      </c>
      <c r="B100" s="57">
        <v>1</v>
      </c>
      <c r="C100" s="58" t="s">
        <v>78</v>
      </c>
      <c r="D100" s="58">
        <v>5</v>
      </c>
      <c r="L100" s="59" t="s">
        <v>299</v>
      </c>
      <c r="M100" s="59" t="s">
        <v>299</v>
      </c>
      <c r="N100" s="55" t="s">
        <v>300</v>
      </c>
      <c r="O100" s="55">
        <v>1</v>
      </c>
      <c r="P100" s="55">
        <v>1627</v>
      </c>
      <c r="Q100" s="55">
        <v>10</v>
      </c>
      <c r="X100" s="53" t="s">
        <v>377</v>
      </c>
      <c r="Y100" s="53">
        <v>2</v>
      </c>
      <c r="Z100" s="53">
        <v>1</v>
      </c>
      <c r="AA100" s="53">
        <v>1</v>
      </c>
      <c r="AB100" s="53">
        <v>1</v>
      </c>
      <c r="AC100" s="57">
        <v>1</v>
      </c>
      <c r="AD100" s="60">
        <v>8450000</v>
      </c>
      <c r="BA100" s="56">
        <f t="shared" si="1"/>
        <v>9295000</v>
      </c>
    </row>
    <row r="101" spans="1:53">
      <c r="A101" s="53">
        <v>40407180010</v>
      </c>
      <c r="B101" s="57">
        <v>1</v>
      </c>
      <c r="C101" s="58" t="s">
        <v>78</v>
      </c>
      <c r="D101" s="58">
        <v>5</v>
      </c>
      <c r="L101" s="59" t="s">
        <v>310</v>
      </c>
      <c r="M101" s="59" t="s">
        <v>310</v>
      </c>
      <c r="N101" s="55" t="s">
        <v>311</v>
      </c>
      <c r="O101" s="55">
        <v>1</v>
      </c>
      <c r="P101" s="55">
        <v>1627</v>
      </c>
      <c r="Q101" s="55">
        <v>10</v>
      </c>
      <c r="X101" s="53" t="s">
        <v>377</v>
      </c>
      <c r="Y101" s="53">
        <v>2</v>
      </c>
      <c r="Z101" s="53">
        <v>1</v>
      </c>
      <c r="AA101" s="53">
        <v>1</v>
      </c>
      <c r="AB101" s="53">
        <v>1</v>
      </c>
      <c r="AC101" s="57">
        <v>2</v>
      </c>
      <c r="AD101" s="60">
        <v>1300000</v>
      </c>
      <c r="BA101" s="56">
        <f t="shared" si="1"/>
        <v>2860000</v>
      </c>
    </row>
    <row r="102" spans="1:53">
      <c r="A102" s="53">
        <v>40407180011</v>
      </c>
      <c r="B102" s="57">
        <v>1</v>
      </c>
      <c r="C102" s="58" t="s">
        <v>78</v>
      </c>
      <c r="D102" s="58">
        <v>5</v>
      </c>
      <c r="L102" s="59" t="s">
        <v>297</v>
      </c>
      <c r="M102" s="59" t="s">
        <v>297</v>
      </c>
      <c r="N102" s="55" t="s">
        <v>298</v>
      </c>
      <c r="O102" s="55">
        <v>1</v>
      </c>
      <c r="P102" s="55">
        <v>1627</v>
      </c>
      <c r="Q102" s="55">
        <v>10</v>
      </c>
      <c r="X102" s="53" t="s">
        <v>377</v>
      </c>
      <c r="Y102" s="53">
        <v>2</v>
      </c>
      <c r="Z102" s="53">
        <v>1</v>
      </c>
      <c r="AA102" s="53">
        <v>1</v>
      </c>
      <c r="AB102" s="53">
        <v>1</v>
      </c>
      <c r="AC102" s="57">
        <v>24</v>
      </c>
      <c r="AD102" s="60">
        <v>490000</v>
      </c>
      <c r="BA102" s="56">
        <f t="shared" si="1"/>
        <v>12936000</v>
      </c>
    </row>
    <row r="103" spans="1:53">
      <c r="A103" s="53">
        <v>40407180011</v>
      </c>
      <c r="B103" s="57">
        <v>1</v>
      </c>
      <c r="C103" s="58" t="s">
        <v>78</v>
      </c>
      <c r="D103" s="58">
        <v>5</v>
      </c>
      <c r="L103" s="59" t="s">
        <v>267</v>
      </c>
      <c r="M103" s="59" t="s">
        <v>267</v>
      </c>
      <c r="N103" s="55" t="s">
        <v>268</v>
      </c>
      <c r="O103" s="55">
        <v>1</v>
      </c>
      <c r="P103" s="55">
        <v>1627</v>
      </c>
      <c r="Q103" s="55">
        <v>0</v>
      </c>
      <c r="X103" s="53" t="s">
        <v>377</v>
      </c>
      <c r="Y103" s="53">
        <v>2</v>
      </c>
      <c r="Z103" s="53">
        <v>1</v>
      </c>
      <c r="AA103" s="53">
        <v>1</v>
      </c>
      <c r="AB103" s="53">
        <v>1</v>
      </c>
      <c r="AC103" s="57">
        <v>6</v>
      </c>
      <c r="AD103" s="60">
        <v>1090000</v>
      </c>
      <c r="BA103" s="56">
        <f t="shared" si="1"/>
        <v>6540000</v>
      </c>
    </row>
    <row r="104" spans="1:53">
      <c r="A104" s="53">
        <v>40407180011</v>
      </c>
      <c r="B104" s="57">
        <v>1</v>
      </c>
      <c r="C104" s="58" t="s">
        <v>78</v>
      </c>
      <c r="D104" s="58">
        <v>5</v>
      </c>
      <c r="L104" s="59" t="s">
        <v>267</v>
      </c>
      <c r="M104" s="59" t="s">
        <v>267</v>
      </c>
      <c r="N104" s="55" t="s">
        <v>268</v>
      </c>
      <c r="O104" s="55">
        <v>1</v>
      </c>
      <c r="P104" s="55">
        <v>1627</v>
      </c>
      <c r="Q104" s="55">
        <v>0</v>
      </c>
      <c r="X104" s="53" t="s">
        <v>377</v>
      </c>
      <c r="Y104" s="53">
        <v>2</v>
      </c>
      <c r="Z104" s="53">
        <v>1</v>
      </c>
      <c r="AA104" s="53">
        <v>1</v>
      </c>
      <c r="AB104" s="53">
        <v>1</v>
      </c>
      <c r="AC104" s="57">
        <v>4</v>
      </c>
      <c r="AD104" s="60">
        <v>2150000</v>
      </c>
      <c r="BA104" s="56">
        <f t="shared" si="1"/>
        <v>8600000</v>
      </c>
    </row>
    <row r="105" spans="1:53">
      <c r="A105" s="53">
        <v>40407180011</v>
      </c>
      <c r="B105" s="57">
        <v>1</v>
      </c>
      <c r="C105" s="58" t="s">
        <v>78</v>
      </c>
      <c r="D105" s="58">
        <v>5</v>
      </c>
      <c r="L105" s="59" t="s">
        <v>267</v>
      </c>
      <c r="M105" s="59" t="s">
        <v>267</v>
      </c>
      <c r="N105" s="55" t="s">
        <v>268</v>
      </c>
      <c r="O105" s="55">
        <v>1</v>
      </c>
      <c r="P105" s="55">
        <v>1627</v>
      </c>
      <c r="Q105" s="55">
        <v>0</v>
      </c>
      <c r="X105" s="53" t="s">
        <v>377</v>
      </c>
      <c r="Y105" s="53">
        <v>2</v>
      </c>
      <c r="Z105" s="53">
        <v>1</v>
      </c>
      <c r="AA105" s="53">
        <v>1</v>
      </c>
      <c r="AB105" s="53">
        <v>1</v>
      </c>
      <c r="AC105" s="57">
        <v>4</v>
      </c>
      <c r="AD105" s="60">
        <v>1090000</v>
      </c>
      <c r="BA105" s="56">
        <f t="shared" si="1"/>
        <v>4360000</v>
      </c>
    </row>
    <row r="106" spans="1:53">
      <c r="A106" s="53">
        <v>40407180011</v>
      </c>
      <c r="B106" s="57">
        <v>1</v>
      </c>
      <c r="C106" s="58" t="s">
        <v>78</v>
      </c>
      <c r="D106" s="58">
        <v>5</v>
      </c>
      <c r="L106" s="59" t="s">
        <v>267</v>
      </c>
      <c r="M106" s="59" t="s">
        <v>267</v>
      </c>
      <c r="N106" s="55" t="s">
        <v>268</v>
      </c>
      <c r="O106" s="55">
        <v>1</v>
      </c>
      <c r="P106" s="55">
        <v>1627</v>
      </c>
      <c r="Q106" s="55">
        <v>0</v>
      </c>
      <c r="X106" s="53" t="s">
        <v>377</v>
      </c>
      <c r="Y106" s="53">
        <v>2</v>
      </c>
      <c r="Z106" s="53">
        <v>1</v>
      </c>
      <c r="AA106" s="53">
        <v>1</v>
      </c>
      <c r="AB106" s="53">
        <v>1</v>
      </c>
      <c r="AC106" s="57">
        <v>2</v>
      </c>
      <c r="AD106" s="60">
        <v>2150000</v>
      </c>
      <c r="BA106" s="56">
        <f t="shared" si="1"/>
        <v>4300000</v>
      </c>
    </row>
    <row r="107" spans="1:53">
      <c r="A107" s="53">
        <v>40407180011</v>
      </c>
      <c r="B107" s="57">
        <v>1</v>
      </c>
      <c r="C107" s="58" t="s">
        <v>78</v>
      </c>
      <c r="D107" s="58">
        <v>5</v>
      </c>
      <c r="L107" s="59" t="s">
        <v>359</v>
      </c>
      <c r="M107" s="59" t="s">
        <v>359</v>
      </c>
      <c r="N107" s="55" t="s">
        <v>360</v>
      </c>
      <c r="O107" s="55">
        <v>1</v>
      </c>
      <c r="P107" s="55">
        <v>1627</v>
      </c>
      <c r="Q107" s="55">
        <v>0</v>
      </c>
      <c r="X107" s="53" t="s">
        <v>377</v>
      </c>
      <c r="Y107" s="53">
        <v>2</v>
      </c>
      <c r="Z107" s="53">
        <v>1</v>
      </c>
      <c r="AA107" s="53">
        <v>1</v>
      </c>
      <c r="AB107" s="53">
        <v>1</v>
      </c>
      <c r="AC107" s="57">
        <v>12</v>
      </c>
      <c r="AD107" s="60">
        <v>780000</v>
      </c>
      <c r="BA107" s="56">
        <f t="shared" si="1"/>
        <v>9360000</v>
      </c>
    </row>
    <row r="108" spans="1:53">
      <c r="A108" s="53">
        <v>40407180011</v>
      </c>
      <c r="B108" s="57">
        <v>1</v>
      </c>
      <c r="C108" s="58" t="s">
        <v>78</v>
      </c>
      <c r="D108" s="58">
        <v>5</v>
      </c>
      <c r="L108" s="59" t="s">
        <v>342</v>
      </c>
      <c r="M108" s="59" t="s">
        <v>342</v>
      </c>
      <c r="N108" s="55" t="s">
        <v>343</v>
      </c>
      <c r="O108" s="55">
        <v>1</v>
      </c>
      <c r="P108" s="55">
        <v>1627</v>
      </c>
      <c r="Q108" s="55">
        <v>10</v>
      </c>
      <c r="X108" s="53" t="s">
        <v>377</v>
      </c>
      <c r="Y108" s="53">
        <v>2</v>
      </c>
      <c r="Z108" s="53">
        <v>1</v>
      </c>
      <c r="AA108" s="53">
        <v>1</v>
      </c>
      <c r="AB108" s="53">
        <v>1</v>
      </c>
      <c r="AC108" s="57">
        <v>15</v>
      </c>
      <c r="AD108" s="60">
        <v>430000</v>
      </c>
      <c r="BA108" s="56">
        <f t="shared" si="1"/>
        <v>7095000</v>
      </c>
    </row>
    <row r="109" spans="1:53">
      <c r="A109" s="53">
        <v>40407180011</v>
      </c>
      <c r="B109" s="57">
        <v>1</v>
      </c>
      <c r="C109" s="58" t="s">
        <v>78</v>
      </c>
      <c r="D109" s="58">
        <v>5</v>
      </c>
      <c r="L109" s="59" t="s">
        <v>361</v>
      </c>
      <c r="M109" s="59" t="s">
        <v>361</v>
      </c>
      <c r="N109" s="55" t="s">
        <v>362</v>
      </c>
      <c r="O109" s="55">
        <v>1</v>
      </c>
      <c r="P109" s="55">
        <v>1627</v>
      </c>
      <c r="Q109" s="55">
        <v>10</v>
      </c>
      <c r="X109" s="53" t="s">
        <v>377</v>
      </c>
      <c r="Y109" s="53">
        <v>2</v>
      </c>
      <c r="Z109" s="53">
        <v>1</v>
      </c>
      <c r="AA109" s="53">
        <v>1</v>
      </c>
      <c r="AB109" s="53">
        <v>1</v>
      </c>
      <c r="AC109" s="57">
        <v>12</v>
      </c>
      <c r="AD109" s="60">
        <v>300000</v>
      </c>
      <c r="BA109" s="56">
        <f t="shared" si="1"/>
        <v>3960000</v>
      </c>
    </row>
    <row r="110" spans="1:53">
      <c r="A110" s="53">
        <v>40407180011</v>
      </c>
      <c r="B110" s="57">
        <v>1</v>
      </c>
      <c r="C110" s="58" t="s">
        <v>78</v>
      </c>
      <c r="D110" s="58">
        <v>5</v>
      </c>
      <c r="L110" s="59" t="s">
        <v>361</v>
      </c>
      <c r="M110" s="59" t="s">
        <v>361</v>
      </c>
      <c r="N110" s="55" t="s">
        <v>362</v>
      </c>
      <c r="O110" s="55">
        <v>1</v>
      </c>
      <c r="P110" s="55">
        <v>1627</v>
      </c>
      <c r="Q110" s="55">
        <v>10</v>
      </c>
      <c r="X110" s="53" t="s">
        <v>377</v>
      </c>
      <c r="Y110" s="53">
        <v>2</v>
      </c>
      <c r="Z110" s="53">
        <v>1</v>
      </c>
      <c r="AA110" s="53">
        <v>1</v>
      </c>
      <c r="AB110" s="53">
        <v>1</v>
      </c>
      <c r="AC110" s="57">
        <v>11</v>
      </c>
      <c r="AD110" s="60">
        <v>320000</v>
      </c>
      <c r="BA110" s="56">
        <f t="shared" si="1"/>
        <v>3872000</v>
      </c>
    </row>
    <row r="111" spans="1:53">
      <c r="A111" s="53">
        <v>40407180011</v>
      </c>
      <c r="B111" s="57">
        <v>1</v>
      </c>
      <c r="C111" s="58" t="s">
        <v>78</v>
      </c>
      <c r="D111" s="58">
        <v>5</v>
      </c>
      <c r="L111" s="59" t="s">
        <v>297</v>
      </c>
      <c r="M111" s="59" t="s">
        <v>297</v>
      </c>
      <c r="N111" s="55" t="s">
        <v>298</v>
      </c>
      <c r="O111" s="55">
        <v>1</v>
      </c>
      <c r="P111" s="55">
        <v>1627</v>
      </c>
      <c r="Q111" s="55">
        <v>10</v>
      </c>
      <c r="X111" s="53" t="s">
        <v>377</v>
      </c>
      <c r="Y111" s="53">
        <v>2</v>
      </c>
      <c r="Z111" s="53">
        <v>1</v>
      </c>
      <c r="AA111" s="53">
        <v>1</v>
      </c>
      <c r="AB111" s="53">
        <v>1</v>
      </c>
      <c r="AC111" s="57">
        <v>48</v>
      </c>
      <c r="AD111" s="60">
        <v>315000</v>
      </c>
      <c r="BA111" s="56">
        <f t="shared" si="1"/>
        <v>16632000</v>
      </c>
    </row>
    <row r="112" spans="1:53">
      <c r="A112" s="53">
        <v>40407180012</v>
      </c>
      <c r="B112" s="57">
        <v>1</v>
      </c>
      <c r="C112" s="58" t="s">
        <v>78</v>
      </c>
      <c r="D112" s="58">
        <v>5</v>
      </c>
      <c r="L112" s="59" t="s">
        <v>363</v>
      </c>
      <c r="M112" s="59" t="s">
        <v>363</v>
      </c>
      <c r="N112" s="55" t="s">
        <v>364</v>
      </c>
      <c r="O112" s="55">
        <v>1</v>
      </c>
      <c r="P112" s="55">
        <v>1627</v>
      </c>
      <c r="Q112" s="55">
        <v>10</v>
      </c>
      <c r="X112" s="53" t="s">
        <v>377</v>
      </c>
      <c r="Y112" s="53">
        <v>2</v>
      </c>
      <c r="Z112" s="53">
        <v>1</v>
      </c>
      <c r="AA112" s="53">
        <v>1</v>
      </c>
      <c r="AB112" s="53">
        <v>1</v>
      </c>
      <c r="AC112" s="57">
        <v>1</v>
      </c>
      <c r="AD112" s="60">
        <v>9000000</v>
      </c>
      <c r="BA112" s="56">
        <f t="shared" si="1"/>
        <v>9900000</v>
      </c>
    </row>
    <row r="113" spans="1:53">
      <c r="A113" s="53">
        <v>40407180012</v>
      </c>
      <c r="B113" s="57">
        <v>1</v>
      </c>
      <c r="C113" s="58" t="s">
        <v>78</v>
      </c>
      <c r="D113" s="58">
        <v>5</v>
      </c>
      <c r="L113" s="59" t="s">
        <v>291</v>
      </c>
      <c r="M113" s="59" t="s">
        <v>291</v>
      </c>
      <c r="N113" s="55" t="s">
        <v>292</v>
      </c>
      <c r="O113" s="55">
        <v>1</v>
      </c>
      <c r="P113" s="55">
        <v>1627</v>
      </c>
      <c r="Q113" s="55">
        <v>10</v>
      </c>
      <c r="X113" s="53" t="s">
        <v>377</v>
      </c>
      <c r="Y113" s="53">
        <v>2</v>
      </c>
      <c r="Z113" s="53">
        <v>1</v>
      </c>
      <c r="AA113" s="53">
        <v>1</v>
      </c>
      <c r="AB113" s="53">
        <v>1</v>
      </c>
      <c r="AC113" s="57">
        <v>1</v>
      </c>
      <c r="AD113" s="60">
        <v>5900000</v>
      </c>
      <c r="BA113" s="56">
        <f t="shared" si="1"/>
        <v>6490000</v>
      </c>
    </row>
    <row r="114" spans="1:53">
      <c r="A114" s="53">
        <v>40407180012</v>
      </c>
      <c r="B114" s="57">
        <v>1</v>
      </c>
      <c r="C114" s="58" t="s">
        <v>78</v>
      </c>
      <c r="D114" s="58">
        <v>5</v>
      </c>
      <c r="L114" s="59" t="s">
        <v>312</v>
      </c>
      <c r="M114" s="59" t="s">
        <v>312</v>
      </c>
      <c r="N114" s="55" t="s">
        <v>313</v>
      </c>
      <c r="O114" s="55">
        <v>1</v>
      </c>
      <c r="P114" s="55">
        <v>1627</v>
      </c>
      <c r="Q114" s="55">
        <v>10</v>
      </c>
      <c r="X114" s="53" t="s">
        <v>377</v>
      </c>
      <c r="Y114" s="53">
        <v>2</v>
      </c>
      <c r="Z114" s="53">
        <v>1</v>
      </c>
      <c r="AA114" s="53">
        <v>1</v>
      </c>
      <c r="AB114" s="53">
        <v>1</v>
      </c>
      <c r="AC114" s="57">
        <v>1</v>
      </c>
      <c r="AD114" s="60">
        <v>8150000</v>
      </c>
      <c r="BA114" s="56">
        <f t="shared" si="1"/>
        <v>8965000</v>
      </c>
    </row>
    <row r="115" spans="1:53">
      <c r="A115" s="53">
        <v>40407180012</v>
      </c>
      <c r="B115" s="57">
        <v>1</v>
      </c>
      <c r="C115" s="58" t="s">
        <v>78</v>
      </c>
      <c r="D115" s="58">
        <v>5</v>
      </c>
      <c r="L115" s="59" t="s">
        <v>312</v>
      </c>
      <c r="M115" s="59" t="s">
        <v>312</v>
      </c>
      <c r="N115" s="55" t="s">
        <v>313</v>
      </c>
      <c r="O115" s="55">
        <v>1</v>
      </c>
      <c r="P115" s="55">
        <v>1627</v>
      </c>
      <c r="Q115" s="55">
        <v>10</v>
      </c>
      <c r="X115" s="53" t="s">
        <v>377</v>
      </c>
      <c r="Y115" s="53">
        <v>2</v>
      </c>
      <c r="Z115" s="53">
        <v>1</v>
      </c>
      <c r="AA115" s="53">
        <v>1</v>
      </c>
      <c r="AB115" s="53">
        <v>1</v>
      </c>
      <c r="AC115" s="57">
        <v>1</v>
      </c>
      <c r="AD115" s="60">
        <v>8150000</v>
      </c>
      <c r="BA115" s="56">
        <f t="shared" si="1"/>
        <v>8965000</v>
      </c>
    </row>
    <row r="116" spans="1:53">
      <c r="A116" s="53">
        <v>40407180012</v>
      </c>
      <c r="B116" s="57">
        <v>1</v>
      </c>
      <c r="C116" s="58" t="s">
        <v>78</v>
      </c>
      <c r="D116" s="58">
        <v>5</v>
      </c>
      <c r="L116" s="59" t="s">
        <v>312</v>
      </c>
      <c r="M116" s="59" t="s">
        <v>312</v>
      </c>
      <c r="N116" s="55" t="s">
        <v>313</v>
      </c>
      <c r="O116" s="55">
        <v>1</v>
      </c>
      <c r="P116" s="55">
        <v>1627</v>
      </c>
      <c r="Q116" s="55">
        <v>10</v>
      </c>
      <c r="X116" s="53" t="s">
        <v>377</v>
      </c>
      <c r="Y116" s="53">
        <v>2</v>
      </c>
      <c r="Z116" s="53">
        <v>1</v>
      </c>
      <c r="AA116" s="53">
        <v>1</v>
      </c>
      <c r="AB116" s="53">
        <v>1</v>
      </c>
      <c r="AC116" s="57">
        <v>1</v>
      </c>
      <c r="AD116" s="60">
        <v>6500000</v>
      </c>
      <c r="BA116" s="56">
        <f t="shared" si="1"/>
        <v>7150000</v>
      </c>
    </row>
    <row r="117" spans="1:53">
      <c r="A117" s="53">
        <v>40407180012</v>
      </c>
      <c r="B117" s="57">
        <v>1</v>
      </c>
      <c r="C117" s="58" t="s">
        <v>78</v>
      </c>
      <c r="D117" s="58">
        <v>5</v>
      </c>
      <c r="L117" s="59" t="s">
        <v>365</v>
      </c>
      <c r="M117" s="59" t="s">
        <v>365</v>
      </c>
      <c r="N117" s="55" t="s">
        <v>366</v>
      </c>
      <c r="O117" s="55">
        <v>1</v>
      </c>
      <c r="P117" s="55">
        <v>1627</v>
      </c>
      <c r="Q117" s="55">
        <v>10</v>
      </c>
      <c r="X117" s="53" t="s">
        <v>377</v>
      </c>
      <c r="Y117" s="53">
        <v>2</v>
      </c>
      <c r="Z117" s="53">
        <v>1</v>
      </c>
      <c r="AA117" s="53">
        <v>1</v>
      </c>
      <c r="AB117" s="53">
        <v>1</v>
      </c>
      <c r="AC117" s="57">
        <v>15</v>
      </c>
      <c r="AD117" s="60">
        <v>640000</v>
      </c>
      <c r="BA117" s="56">
        <f t="shared" si="1"/>
        <v>10560000</v>
      </c>
    </row>
    <row r="118" spans="1:53">
      <c r="A118" s="53">
        <v>40407180012</v>
      </c>
      <c r="B118" s="57">
        <v>1</v>
      </c>
      <c r="C118" s="58" t="s">
        <v>78</v>
      </c>
      <c r="D118" s="58">
        <v>5</v>
      </c>
      <c r="L118" s="59" t="s">
        <v>269</v>
      </c>
      <c r="M118" s="59" t="s">
        <v>269</v>
      </c>
      <c r="N118" s="55" t="s">
        <v>270</v>
      </c>
      <c r="O118" s="55">
        <v>1</v>
      </c>
      <c r="P118" s="55">
        <v>1627</v>
      </c>
      <c r="Q118" s="55">
        <v>10</v>
      </c>
      <c r="X118" s="53" t="s">
        <v>377</v>
      </c>
      <c r="Y118" s="53">
        <v>2</v>
      </c>
      <c r="Z118" s="53">
        <v>1</v>
      </c>
      <c r="AA118" s="53">
        <v>1</v>
      </c>
      <c r="AB118" s="53">
        <v>1</v>
      </c>
      <c r="AC118" s="57">
        <v>8</v>
      </c>
      <c r="AD118" s="60">
        <v>970000</v>
      </c>
      <c r="BA118" s="56">
        <f t="shared" si="1"/>
        <v>8536000</v>
      </c>
    </row>
    <row r="119" spans="1:53">
      <c r="A119" s="53">
        <v>40407180012</v>
      </c>
      <c r="B119" s="57">
        <v>1</v>
      </c>
      <c r="C119" s="58" t="s">
        <v>78</v>
      </c>
      <c r="D119" s="58">
        <v>5</v>
      </c>
      <c r="L119" s="59" t="s">
        <v>269</v>
      </c>
      <c r="M119" s="59" t="s">
        <v>269</v>
      </c>
      <c r="N119" s="55" t="s">
        <v>270</v>
      </c>
      <c r="O119" s="55">
        <v>1</v>
      </c>
      <c r="P119" s="55">
        <v>1627</v>
      </c>
      <c r="Q119" s="55">
        <v>10</v>
      </c>
      <c r="X119" s="53" t="s">
        <v>377</v>
      </c>
      <c r="Y119" s="53">
        <v>2</v>
      </c>
      <c r="Z119" s="53">
        <v>1</v>
      </c>
      <c r="AA119" s="53">
        <v>1</v>
      </c>
      <c r="AB119" s="53">
        <v>1</v>
      </c>
      <c r="AC119" s="57">
        <v>12</v>
      </c>
      <c r="AD119" s="60">
        <v>880000</v>
      </c>
      <c r="BA119" s="56">
        <f t="shared" si="1"/>
        <v>11616000</v>
      </c>
    </row>
    <row r="120" spans="1:53">
      <c r="A120" s="53">
        <v>40407180012</v>
      </c>
      <c r="B120" s="57">
        <v>1</v>
      </c>
      <c r="C120" s="58" t="s">
        <v>78</v>
      </c>
      <c r="D120" s="58">
        <v>5</v>
      </c>
      <c r="L120" s="59" t="s">
        <v>367</v>
      </c>
      <c r="M120" s="59" t="s">
        <v>367</v>
      </c>
      <c r="N120" s="55" t="s">
        <v>368</v>
      </c>
      <c r="O120" s="55">
        <v>1</v>
      </c>
      <c r="P120" s="55">
        <v>1627</v>
      </c>
      <c r="Q120" s="55">
        <v>0</v>
      </c>
      <c r="X120" s="53" t="s">
        <v>377</v>
      </c>
      <c r="Y120" s="53">
        <v>2</v>
      </c>
      <c r="Z120" s="53">
        <v>1</v>
      </c>
      <c r="AA120" s="53">
        <v>1</v>
      </c>
      <c r="AB120" s="53">
        <v>1</v>
      </c>
      <c r="AC120" s="57">
        <v>7.32</v>
      </c>
      <c r="AD120" s="60">
        <v>3000000</v>
      </c>
      <c r="BA120" s="56">
        <f t="shared" si="1"/>
        <v>21960000</v>
      </c>
    </row>
    <row r="121" spans="1:53">
      <c r="A121" s="53">
        <v>40407180012</v>
      </c>
      <c r="B121" s="57">
        <v>1</v>
      </c>
      <c r="C121" s="58" t="s">
        <v>78</v>
      </c>
      <c r="D121" s="58">
        <v>5</v>
      </c>
      <c r="L121" s="59" t="s">
        <v>297</v>
      </c>
      <c r="M121" s="59" t="s">
        <v>297</v>
      </c>
      <c r="N121" s="55" t="s">
        <v>298</v>
      </c>
      <c r="O121" s="55">
        <v>1</v>
      </c>
      <c r="P121" s="55">
        <v>1627</v>
      </c>
      <c r="Q121" s="55">
        <v>10</v>
      </c>
      <c r="X121" s="53" t="s">
        <v>377</v>
      </c>
      <c r="Y121" s="53">
        <v>2</v>
      </c>
      <c r="Z121" s="53">
        <v>1</v>
      </c>
      <c r="AA121" s="53">
        <v>1</v>
      </c>
      <c r="AB121" s="53">
        <v>1</v>
      </c>
      <c r="AC121" s="57">
        <v>48</v>
      </c>
      <c r="AD121" s="60">
        <v>315000</v>
      </c>
      <c r="BA121" s="56">
        <f t="shared" si="1"/>
        <v>16632000</v>
      </c>
    </row>
    <row r="122" spans="1:53">
      <c r="A122" s="53">
        <v>40407180013</v>
      </c>
      <c r="B122" s="57">
        <v>1</v>
      </c>
      <c r="C122" s="58" t="s">
        <v>78</v>
      </c>
      <c r="D122" s="58">
        <v>5</v>
      </c>
      <c r="L122" s="59" t="s">
        <v>297</v>
      </c>
      <c r="M122" s="59" t="s">
        <v>297</v>
      </c>
      <c r="N122" s="55" t="s">
        <v>298</v>
      </c>
      <c r="O122" s="55">
        <v>1</v>
      </c>
      <c r="P122" s="55">
        <v>1627</v>
      </c>
      <c r="Q122" s="55">
        <v>10</v>
      </c>
      <c r="X122" s="53" t="s">
        <v>377</v>
      </c>
      <c r="Y122" s="53">
        <v>2</v>
      </c>
      <c r="Z122" s="53">
        <v>1</v>
      </c>
      <c r="AA122" s="53">
        <v>1</v>
      </c>
      <c r="AB122" s="53">
        <v>1</v>
      </c>
      <c r="AC122" s="57">
        <v>30</v>
      </c>
      <c r="AD122" s="60">
        <v>550000</v>
      </c>
      <c r="BA122" s="56">
        <f t="shared" si="1"/>
        <v>18150000</v>
      </c>
    </row>
    <row r="123" spans="1:53">
      <c r="A123" s="53">
        <v>40407180013</v>
      </c>
      <c r="B123" s="57">
        <v>1</v>
      </c>
      <c r="C123" s="58" t="s">
        <v>78</v>
      </c>
      <c r="D123" s="58">
        <v>5</v>
      </c>
      <c r="L123" s="59" t="s">
        <v>297</v>
      </c>
      <c r="M123" s="59" t="s">
        <v>297</v>
      </c>
      <c r="N123" s="55" t="s">
        <v>298</v>
      </c>
      <c r="O123" s="55">
        <v>1</v>
      </c>
      <c r="P123" s="55">
        <v>1627</v>
      </c>
      <c r="Q123" s="55">
        <v>10</v>
      </c>
      <c r="X123" s="53" t="s">
        <v>377</v>
      </c>
      <c r="Y123" s="53">
        <v>2</v>
      </c>
      <c r="Z123" s="53">
        <v>1</v>
      </c>
      <c r="AA123" s="53">
        <v>1</v>
      </c>
      <c r="AB123" s="53">
        <v>1</v>
      </c>
      <c r="AC123" s="57">
        <v>36</v>
      </c>
      <c r="AD123" s="60">
        <v>575000</v>
      </c>
      <c r="BA123" s="56">
        <f t="shared" si="1"/>
        <v>22770000</v>
      </c>
    </row>
    <row r="124" spans="1:53">
      <c r="A124" s="53">
        <v>40407180013</v>
      </c>
      <c r="B124" s="57">
        <v>1</v>
      </c>
      <c r="C124" s="58" t="s">
        <v>78</v>
      </c>
      <c r="D124" s="58">
        <v>5</v>
      </c>
      <c r="L124" s="59" t="s">
        <v>353</v>
      </c>
      <c r="M124" s="59" t="s">
        <v>353</v>
      </c>
      <c r="N124" s="55" t="s">
        <v>354</v>
      </c>
      <c r="O124" s="55">
        <v>1</v>
      </c>
      <c r="P124" s="55">
        <v>1627</v>
      </c>
      <c r="Q124" s="55">
        <v>10</v>
      </c>
      <c r="X124" s="53" t="s">
        <v>377</v>
      </c>
      <c r="Y124" s="53">
        <v>2</v>
      </c>
      <c r="Z124" s="53">
        <v>1</v>
      </c>
      <c r="AA124" s="53">
        <v>1</v>
      </c>
      <c r="AB124" s="53">
        <v>1</v>
      </c>
      <c r="AC124" s="57">
        <v>4</v>
      </c>
      <c r="AD124" s="60">
        <v>700000</v>
      </c>
      <c r="BA124" s="56">
        <f t="shared" si="1"/>
        <v>3080000</v>
      </c>
    </row>
    <row r="125" spans="1:53">
      <c r="A125" s="53">
        <v>40407180013</v>
      </c>
      <c r="B125" s="57">
        <v>1</v>
      </c>
      <c r="C125" s="58" t="s">
        <v>78</v>
      </c>
      <c r="D125" s="58">
        <v>5</v>
      </c>
      <c r="L125" s="59" t="s">
        <v>361</v>
      </c>
      <c r="M125" s="59" t="s">
        <v>361</v>
      </c>
      <c r="N125" s="55" t="s">
        <v>362</v>
      </c>
      <c r="O125" s="55">
        <v>1</v>
      </c>
      <c r="P125" s="55">
        <v>1627</v>
      </c>
      <c r="Q125" s="55">
        <v>10</v>
      </c>
      <c r="X125" s="53" t="s">
        <v>377</v>
      </c>
      <c r="Y125" s="53">
        <v>2</v>
      </c>
      <c r="Z125" s="53">
        <v>1</v>
      </c>
      <c r="AA125" s="53">
        <v>1</v>
      </c>
      <c r="AB125" s="53">
        <v>1</v>
      </c>
      <c r="AC125" s="57">
        <v>12</v>
      </c>
      <c r="AD125" s="60">
        <v>300000</v>
      </c>
      <c r="BA125" s="56">
        <f t="shared" si="1"/>
        <v>3960000</v>
      </c>
    </row>
    <row r="126" spans="1:53">
      <c r="A126" s="53">
        <v>40407180013</v>
      </c>
      <c r="B126" s="57">
        <v>1</v>
      </c>
      <c r="C126" s="58" t="s">
        <v>78</v>
      </c>
      <c r="D126" s="58">
        <v>5</v>
      </c>
      <c r="L126" s="59" t="s">
        <v>361</v>
      </c>
      <c r="M126" s="59" t="s">
        <v>361</v>
      </c>
      <c r="N126" s="55" t="s">
        <v>362</v>
      </c>
      <c r="O126" s="55">
        <v>1</v>
      </c>
      <c r="P126" s="55">
        <v>1627</v>
      </c>
      <c r="Q126" s="55">
        <v>10</v>
      </c>
      <c r="X126" s="53" t="s">
        <v>377</v>
      </c>
      <c r="Y126" s="53">
        <v>2</v>
      </c>
      <c r="Z126" s="53">
        <v>1</v>
      </c>
      <c r="AA126" s="53">
        <v>1</v>
      </c>
      <c r="AB126" s="53">
        <v>1</v>
      </c>
      <c r="AC126" s="57">
        <v>12</v>
      </c>
      <c r="AD126" s="60">
        <v>340000</v>
      </c>
      <c r="BA126" s="56">
        <f t="shared" si="1"/>
        <v>4488000</v>
      </c>
    </row>
    <row r="127" spans="1:53">
      <c r="A127" s="53">
        <v>40407180013</v>
      </c>
      <c r="B127" s="57">
        <v>1</v>
      </c>
      <c r="C127" s="58" t="s">
        <v>78</v>
      </c>
      <c r="D127" s="58">
        <v>5</v>
      </c>
      <c r="L127" s="59" t="s">
        <v>353</v>
      </c>
      <c r="M127" s="59" t="s">
        <v>353</v>
      </c>
      <c r="N127" s="55" t="s">
        <v>354</v>
      </c>
      <c r="O127" s="55">
        <v>1</v>
      </c>
      <c r="P127" s="55">
        <v>1627</v>
      </c>
      <c r="Q127" s="55">
        <v>10</v>
      </c>
      <c r="X127" s="53" t="s">
        <v>377</v>
      </c>
      <c r="Y127" s="53">
        <v>2</v>
      </c>
      <c r="Z127" s="53">
        <v>1</v>
      </c>
      <c r="AA127" s="53">
        <v>1</v>
      </c>
      <c r="AB127" s="53">
        <v>1</v>
      </c>
      <c r="AC127" s="57">
        <v>4</v>
      </c>
      <c r="AD127" s="60">
        <v>1680000</v>
      </c>
      <c r="BA127" s="56">
        <f t="shared" si="1"/>
        <v>7392000</v>
      </c>
    </row>
    <row r="128" spans="1:53">
      <c r="A128" s="53">
        <v>40407180013</v>
      </c>
      <c r="B128" s="57">
        <v>1</v>
      </c>
      <c r="C128" s="58" t="s">
        <v>78</v>
      </c>
      <c r="D128" s="58">
        <v>5</v>
      </c>
      <c r="L128" s="59" t="s">
        <v>365</v>
      </c>
      <c r="M128" s="59" t="s">
        <v>365</v>
      </c>
      <c r="N128" s="55" t="s">
        <v>366</v>
      </c>
      <c r="O128" s="55">
        <v>1</v>
      </c>
      <c r="P128" s="55">
        <v>1627</v>
      </c>
      <c r="Q128" s="55">
        <v>10</v>
      </c>
      <c r="X128" s="53" t="s">
        <v>377</v>
      </c>
      <c r="Y128" s="53">
        <v>2</v>
      </c>
      <c r="Z128" s="53">
        <v>1</v>
      </c>
      <c r="AA128" s="53">
        <v>1</v>
      </c>
      <c r="AB128" s="53">
        <v>1</v>
      </c>
      <c r="AC128" s="57">
        <v>15</v>
      </c>
      <c r="AD128" s="60">
        <v>640000</v>
      </c>
      <c r="BA128" s="56">
        <f t="shared" ref="BA128:BA137" si="2">AD128*AC128+(AD128*AC128*Q128%)</f>
        <v>10560000</v>
      </c>
    </row>
    <row r="129" spans="1:53">
      <c r="A129" s="53">
        <v>40407180013</v>
      </c>
      <c r="B129" s="57">
        <v>1</v>
      </c>
      <c r="C129" s="58" t="s">
        <v>78</v>
      </c>
      <c r="D129" s="58">
        <v>5</v>
      </c>
      <c r="L129" s="59" t="s">
        <v>369</v>
      </c>
      <c r="M129" s="59" t="s">
        <v>369</v>
      </c>
      <c r="N129" s="55" t="s">
        <v>370</v>
      </c>
      <c r="O129" s="55">
        <v>1</v>
      </c>
      <c r="P129" s="55">
        <v>1627</v>
      </c>
      <c r="Q129" s="55">
        <v>10</v>
      </c>
      <c r="X129" s="53" t="s">
        <v>377</v>
      </c>
      <c r="Y129" s="53">
        <v>2</v>
      </c>
      <c r="Z129" s="53">
        <v>1</v>
      </c>
      <c r="AA129" s="53">
        <v>1</v>
      </c>
      <c r="AB129" s="53">
        <v>1</v>
      </c>
      <c r="AC129" s="57">
        <v>24</v>
      </c>
      <c r="AD129" s="60">
        <v>530000</v>
      </c>
      <c r="BA129" s="56">
        <f t="shared" si="2"/>
        <v>13992000</v>
      </c>
    </row>
    <row r="130" spans="1:53">
      <c r="A130" s="53">
        <v>40407180013</v>
      </c>
      <c r="B130" s="57">
        <v>1</v>
      </c>
      <c r="C130" s="58" t="s">
        <v>78</v>
      </c>
      <c r="D130" s="58">
        <v>5</v>
      </c>
      <c r="L130" s="59" t="s">
        <v>371</v>
      </c>
      <c r="M130" s="59" t="s">
        <v>371</v>
      </c>
      <c r="N130" s="55" t="s">
        <v>372</v>
      </c>
      <c r="O130" s="55">
        <v>1</v>
      </c>
      <c r="P130" s="55">
        <v>1627</v>
      </c>
      <c r="Q130" s="55">
        <v>10</v>
      </c>
      <c r="X130" s="53" t="s">
        <v>377</v>
      </c>
      <c r="Y130" s="53">
        <v>2</v>
      </c>
      <c r="Z130" s="53">
        <v>1</v>
      </c>
      <c r="AA130" s="53">
        <v>1</v>
      </c>
      <c r="AB130" s="53">
        <v>1</v>
      </c>
      <c r="AC130" s="57">
        <v>36</v>
      </c>
      <c r="AD130" s="60">
        <v>155000</v>
      </c>
      <c r="BA130" s="56">
        <f t="shared" si="2"/>
        <v>6138000</v>
      </c>
    </row>
    <row r="131" spans="1:53">
      <c r="A131" s="53">
        <v>40407180013</v>
      </c>
      <c r="B131" s="57">
        <v>1</v>
      </c>
      <c r="C131" s="58" t="s">
        <v>78</v>
      </c>
      <c r="D131" s="58">
        <v>5</v>
      </c>
      <c r="L131" s="59" t="s">
        <v>371</v>
      </c>
      <c r="M131" s="59" t="s">
        <v>371</v>
      </c>
      <c r="N131" s="55" t="s">
        <v>372</v>
      </c>
      <c r="O131" s="55">
        <v>1</v>
      </c>
      <c r="P131" s="55">
        <v>1627</v>
      </c>
      <c r="Q131" s="55">
        <v>10</v>
      </c>
      <c r="X131" s="53" t="s">
        <v>377</v>
      </c>
      <c r="Y131" s="53">
        <v>2</v>
      </c>
      <c r="Z131" s="53">
        <v>1</v>
      </c>
      <c r="AA131" s="53">
        <v>1</v>
      </c>
      <c r="AB131" s="53">
        <v>1</v>
      </c>
      <c r="AC131" s="57">
        <v>36</v>
      </c>
      <c r="AD131" s="60">
        <v>160000</v>
      </c>
      <c r="BA131" s="56">
        <f t="shared" si="2"/>
        <v>6336000</v>
      </c>
    </row>
    <row r="132" spans="1:53">
      <c r="A132" s="53">
        <v>40407180014</v>
      </c>
      <c r="B132" s="57">
        <v>1</v>
      </c>
      <c r="C132" s="58" t="s">
        <v>78</v>
      </c>
      <c r="D132" s="58">
        <v>5</v>
      </c>
      <c r="L132" s="59" t="s">
        <v>334</v>
      </c>
      <c r="M132" s="59" t="s">
        <v>334</v>
      </c>
      <c r="N132" s="55" t="s">
        <v>335</v>
      </c>
      <c r="O132" s="55">
        <v>1</v>
      </c>
      <c r="P132" s="55">
        <v>1627</v>
      </c>
      <c r="Q132" s="55">
        <v>10</v>
      </c>
      <c r="X132" s="53" t="s">
        <v>377</v>
      </c>
      <c r="Y132" s="53">
        <v>2</v>
      </c>
      <c r="Z132" s="53">
        <v>1</v>
      </c>
      <c r="AA132" s="53">
        <v>1</v>
      </c>
      <c r="AB132" s="53">
        <v>1</v>
      </c>
      <c r="AC132" s="57">
        <v>1</v>
      </c>
      <c r="AD132" s="60">
        <v>13700000</v>
      </c>
      <c r="BA132" s="56">
        <f t="shared" si="2"/>
        <v>15070000</v>
      </c>
    </row>
    <row r="133" spans="1:53">
      <c r="A133" s="53">
        <v>40407180014</v>
      </c>
      <c r="B133" s="57">
        <v>1</v>
      </c>
      <c r="C133" s="58" t="s">
        <v>78</v>
      </c>
      <c r="D133" s="58">
        <v>5</v>
      </c>
      <c r="L133" s="59" t="s">
        <v>373</v>
      </c>
      <c r="M133" s="59" t="s">
        <v>373</v>
      </c>
      <c r="N133" s="55" t="s">
        <v>374</v>
      </c>
      <c r="O133" s="55">
        <v>1</v>
      </c>
      <c r="P133" s="55">
        <v>1627</v>
      </c>
      <c r="Q133" s="55">
        <v>10</v>
      </c>
      <c r="X133" s="53" t="s">
        <v>377</v>
      </c>
      <c r="Y133" s="53">
        <v>2</v>
      </c>
      <c r="Z133" s="53">
        <v>1</v>
      </c>
      <c r="AA133" s="53">
        <v>1</v>
      </c>
      <c r="AB133" s="53">
        <v>1</v>
      </c>
      <c r="AC133" s="57">
        <v>1</v>
      </c>
      <c r="AD133" s="60">
        <v>5300000</v>
      </c>
      <c r="BA133" s="56">
        <f t="shared" si="2"/>
        <v>5830000</v>
      </c>
    </row>
    <row r="134" spans="1:53">
      <c r="A134" s="53">
        <v>40407180014</v>
      </c>
      <c r="B134" s="57">
        <v>1</v>
      </c>
      <c r="C134" s="58" t="s">
        <v>78</v>
      </c>
      <c r="D134" s="58">
        <v>5</v>
      </c>
      <c r="L134" s="59" t="s">
        <v>375</v>
      </c>
      <c r="M134" s="59" t="s">
        <v>375</v>
      </c>
      <c r="N134" s="55" t="s">
        <v>376</v>
      </c>
      <c r="O134" s="55">
        <v>1</v>
      </c>
      <c r="P134" s="55">
        <v>1627</v>
      </c>
      <c r="Q134" s="55">
        <v>0</v>
      </c>
      <c r="X134" s="53" t="s">
        <v>377</v>
      </c>
      <c r="Y134" s="53">
        <v>2</v>
      </c>
      <c r="Z134" s="53">
        <v>1</v>
      </c>
      <c r="AA134" s="53">
        <v>1</v>
      </c>
      <c r="AB134" s="53">
        <v>1</v>
      </c>
      <c r="AC134" s="57">
        <v>2.96</v>
      </c>
      <c r="AD134" s="60">
        <v>4350000</v>
      </c>
      <c r="BA134" s="56">
        <f t="shared" si="2"/>
        <v>12876000</v>
      </c>
    </row>
    <row r="135" spans="1:53">
      <c r="A135" s="53">
        <v>40407180014</v>
      </c>
      <c r="B135" s="57">
        <v>1</v>
      </c>
      <c r="C135" s="58" t="s">
        <v>78</v>
      </c>
      <c r="D135" s="58">
        <v>5</v>
      </c>
      <c r="L135" s="59" t="s">
        <v>340</v>
      </c>
      <c r="M135" s="59" t="s">
        <v>340</v>
      </c>
      <c r="N135" s="55" t="s">
        <v>341</v>
      </c>
      <c r="O135" s="55">
        <v>1</v>
      </c>
      <c r="P135" s="55">
        <v>1627</v>
      </c>
      <c r="Q135" s="55">
        <v>0</v>
      </c>
      <c r="X135" s="53" t="s">
        <v>377</v>
      </c>
      <c r="Y135" s="53">
        <v>2</v>
      </c>
      <c r="Z135" s="53">
        <v>1</v>
      </c>
      <c r="AA135" s="53">
        <v>1</v>
      </c>
      <c r="AB135" s="53">
        <v>1</v>
      </c>
      <c r="AC135" s="57">
        <v>4</v>
      </c>
      <c r="AD135" s="60">
        <v>2405000</v>
      </c>
      <c r="BA135" s="56">
        <f t="shared" si="2"/>
        <v>9620000</v>
      </c>
    </row>
    <row r="136" spans="1:53">
      <c r="A136" s="53">
        <v>40407180014</v>
      </c>
      <c r="B136" s="57">
        <v>1</v>
      </c>
      <c r="C136" s="58" t="s">
        <v>78</v>
      </c>
      <c r="D136" s="58">
        <v>5</v>
      </c>
      <c r="L136" s="59" t="s">
        <v>340</v>
      </c>
      <c r="M136" s="59" t="s">
        <v>340</v>
      </c>
      <c r="N136" s="55" t="s">
        <v>341</v>
      </c>
      <c r="O136" s="55">
        <v>1</v>
      </c>
      <c r="P136" s="55">
        <v>1627</v>
      </c>
      <c r="Q136" s="55">
        <v>0</v>
      </c>
      <c r="X136" s="53" t="s">
        <v>377</v>
      </c>
      <c r="Y136" s="53">
        <v>2</v>
      </c>
      <c r="Z136" s="53">
        <v>1</v>
      </c>
      <c r="AA136" s="53">
        <v>1</v>
      </c>
      <c r="AB136" s="53">
        <v>1</v>
      </c>
      <c r="AC136" s="57">
        <v>12</v>
      </c>
      <c r="AD136" s="60">
        <v>719000</v>
      </c>
      <c r="BA136" s="56">
        <f t="shared" si="2"/>
        <v>8628000</v>
      </c>
    </row>
    <row r="137" spans="1:53">
      <c r="A137" s="53">
        <v>40407180014</v>
      </c>
      <c r="B137" s="57">
        <v>1</v>
      </c>
      <c r="C137" s="58" t="s">
        <v>78</v>
      </c>
      <c r="D137" s="58">
        <v>5</v>
      </c>
      <c r="L137" s="59" t="s">
        <v>330</v>
      </c>
      <c r="M137" s="59" t="s">
        <v>330</v>
      </c>
      <c r="N137" s="55" t="s">
        <v>331</v>
      </c>
      <c r="O137" s="55">
        <v>1</v>
      </c>
      <c r="P137" s="55">
        <v>1627</v>
      </c>
      <c r="Q137" s="55">
        <v>0</v>
      </c>
      <c r="X137" s="53" t="s">
        <v>377</v>
      </c>
      <c r="Y137" s="53">
        <v>2</v>
      </c>
      <c r="Z137" s="53">
        <v>1</v>
      </c>
      <c r="AA137" s="53">
        <v>1</v>
      </c>
      <c r="AB137" s="53">
        <v>1</v>
      </c>
      <c r="AC137" s="57">
        <v>1</v>
      </c>
      <c r="AD137" s="60">
        <v>1701870</v>
      </c>
      <c r="BA137" s="56">
        <f t="shared" si="2"/>
        <v>1701870</v>
      </c>
    </row>
    <row r="138" spans="1:53">
      <c r="BA138" s="150"/>
    </row>
  </sheetData>
  <autoFilter ref="A1:BA137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rightToLeft="1" zoomScale="85" zoomScaleNormal="85" workbookViewId="0">
      <pane xSplit="2" ySplit="2" topLeftCell="G9" activePane="bottomRight" state="frozen"/>
      <selection pane="topRight" activeCell="C1" sqref="C1"/>
      <selection pane="bottomLeft" activeCell="A3" sqref="A3"/>
      <selection pane="bottomRight" activeCell="J3" sqref="J3:J15"/>
    </sheetView>
  </sheetViews>
  <sheetFormatPr defaultColWidth="8" defaultRowHeight="22.5" customHeight="1"/>
  <cols>
    <col min="1" max="1" width="6.25" style="3" customWidth="1"/>
    <col min="2" max="2" width="16.75" style="6" customWidth="1"/>
    <col min="3" max="7" width="20.625" style="1" customWidth="1"/>
    <col min="8" max="8" width="20.625" customWidth="1"/>
    <col min="9" max="10" width="20.625" style="1" customWidth="1"/>
    <col min="11" max="12" width="20.625" style="2" customWidth="1"/>
    <col min="13" max="13" width="20.875" style="7" customWidth="1"/>
    <col min="14" max="14" width="8" style="7"/>
    <col min="15" max="16384" width="8" style="3"/>
  </cols>
  <sheetData>
    <row r="1" spans="1:14" ht="22.5" customHeight="1" thickBot="1">
      <c r="A1" s="21"/>
      <c r="B1" s="22"/>
      <c r="C1" s="22"/>
      <c r="D1" s="22"/>
      <c r="E1" s="22"/>
      <c r="F1" s="151" t="s">
        <v>0</v>
      </c>
      <c r="G1" s="152"/>
      <c r="H1" s="152"/>
      <c r="I1" s="153"/>
      <c r="J1" s="23"/>
      <c r="K1" s="24" t="s">
        <v>1</v>
      </c>
      <c r="L1" s="35" t="s">
        <v>32</v>
      </c>
      <c r="M1" s="3"/>
      <c r="N1" s="3"/>
    </row>
    <row r="2" spans="1:14" thickBot="1">
      <c r="A2" s="19" t="s">
        <v>2</v>
      </c>
      <c r="B2" s="20" t="s">
        <v>3</v>
      </c>
      <c r="C2" s="8" t="s">
        <v>4</v>
      </c>
      <c r="D2" s="8" t="s">
        <v>5</v>
      </c>
      <c r="E2" s="8" t="s">
        <v>6</v>
      </c>
      <c r="F2" s="8" t="s">
        <v>30</v>
      </c>
      <c r="G2" s="8" t="s">
        <v>7</v>
      </c>
      <c r="H2" s="8" t="s">
        <v>8</v>
      </c>
      <c r="I2" s="8" t="s">
        <v>9</v>
      </c>
      <c r="J2" s="28" t="s">
        <v>10</v>
      </c>
      <c r="K2" s="8" t="s">
        <v>11</v>
      </c>
      <c r="L2" s="27" t="s">
        <v>12</v>
      </c>
      <c r="M2" s="4"/>
      <c r="N2" s="2"/>
    </row>
    <row r="3" spans="1:14" ht="21" thickBot="1">
      <c r="A3" s="9">
        <f>ROW()-ROW(Table1[[#Headers],[نام بانک]])</f>
        <v>1</v>
      </c>
      <c r="B3" s="10" t="s">
        <v>13</v>
      </c>
      <c r="C3" s="11">
        <f>SUM(Table1[[#This Row],[جابه جایی خودمان]:[پوز (شاپرک)]])</f>
        <v>154920000</v>
      </c>
      <c r="D3" s="12"/>
      <c r="E3" s="12"/>
      <c r="F3" s="12"/>
      <c r="G3" s="12"/>
      <c r="H3" s="12"/>
      <c r="I3" s="12">
        <f>تجارت6235!L25</f>
        <v>154920000</v>
      </c>
      <c r="J3" s="26">
        <f>Table1[[#This Row],[نقدی]]+Table1[[#This Row],[کارت به کارت مشتری]]+Table1[[#This Row],[وصول چک مشتری]]+Table1[[#This Row],[پوز (شاپرک)]]</f>
        <v>154920000</v>
      </c>
      <c r="K3" s="12"/>
      <c r="L3" s="25">
        <f>Table1[[#This Row],[جمع واریزی از فروش]]-Table1[[#This Row],[برگشت از فروش]]</f>
        <v>154920000</v>
      </c>
      <c r="M3" s="5"/>
      <c r="N3" s="2"/>
    </row>
    <row r="4" spans="1:14" ht="22.5" customHeight="1" thickBot="1">
      <c r="A4" s="9">
        <f>ROW()-ROW(Table1[[#Headers],[نام بانک]])</f>
        <v>2</v>
      </c>
      <c r="B4" s="10" t="s">
        <v>14</v>
      </c>
      <c r="C4" s="11">
        <f>SUM(Table1[[#This Row],[جابه جایی خودمان]:[پوز (شاپرک)]])</f>
        <v>1372220730</v>
      </c>
      <c r="D4" s="13"/>
      <c r="E4" s="13"/>
      <c r="F4" s="13"/>
      <c r="G4" s="13"/>
      <c r="H4" s="13"/>
      <c r="I4" s="13">
        <f>تجارت2987!L26</f>
        <v>1372220730</v>
      </c>
      <c r="J4" s="26">
        <f>Table1[[#This Row],[نقدی]]+Table1[[#This Row],[کارت به کارت مشتری]]+Table1[[#This Row],[وصول چک مشتری]]+Table1[[#This Row],[پوز (شاپرک)]]</f>
        <v>1372220730</v>
      </c>
      <c r="K4" s="13"/>
      <c r="L4" s="25">
        <f>Table1[[#This Row],[جمع واریزی از فروش]]-Table1[[#This Row],[برگشت از فروش]]</f>
        <v>1372220730</v>
      </c>
      <c r="M4" s="5"/>
      <c r="N4" s="2"/>
    </row>
    <row r="5" spans="1:14" ht="22.5" customHeight="1" thickBot="1">
      <c r="A5" s="9">
        <f>ROW()-ROW(Table1[[#Headers],[نام بانک]])</f>
        <v>3</v>
      </c>
      <c r="B5" s="10" t="s">
        <v>15</v>
      </c>
      <c r="C5" s="11">
        <f>SUM(Table1[[#This Row],[جابه جایی خودمان]:[پوز (شاپرک)]])</f>
        <v>200200000</v>
      </c>
      <c r="D5" s="12"/>
      <c r="E5" s="12"/>
      <c r="F5" s="12"/>
      <c r="G5" s="12"/>
      <c r="H5" s="12"/>
      <c r="I5" s="12">
        <f>رفاه8151!K5</f>
        <v>200200000</v>
      </c>
      <c r="J5" s="26">
        <f>Table1[[#This Row],[نقدی]]+Table1[[#This Row],[کارت به کارت مشتری]]+Table1[[#This Row],[وصول چک مشتری]]+Table1[[#This Row],[پوز (شاپرک)]]</f>
        <v>200200000</v>
      </c>
      <c r="K5" s="12"/>
      <c r="L5" s="25">
        <f>Table1[[#This Row],[جمع واریزی از فروش]]-Table1[[#This Row],[برگشت از فروش]]</f>
        <v>200200000</v>
      </c>
      <c r="M5" s="5"/>
      <c r="N5" s="2"/>
    </row>
    <row r="6" spans="1:14" ht="22.5" customHeight="1" thickBot="1">
      <c r="A6" s="9">
        <f>ROW()-ROW(Table1[[#Headers],[نام بانک]])</f>
        <v>4</v>
      </c>
      <c r="B6" s="10" t="s">
        <v>16</v>
      </c>
      <c r="C6" s="11">
        <f>SUM(Table1[[#This Row],[جابه جایی خودمان]:[پوز (شاپرک)]])</f>
        <v>0</v>
      </c>
      <c r="D6" s="13"/>
      <c r="E6" s="13"/>
      <c r="F6" s="13"/>
      <c r="G6" s="13"/>
      <c r="H6" s="13"/>
      <c r="I6" s="13"/>
      <c r="J6" s="26">
        <f>Table1[[#This Row],[نقدی]]+Table1[[#This Row],[کارت به کارت مشتری]]+Table1[[#This Row],[وصول چک مشتری]]+Table1[[#This Row],[پوز (شاپرک)]]</f>
        <v>0</v>
      </c>
      <c r="K6" s="13"/>
      <c r="L6" s="25">
        <f>Table1[[#This Row],[جمع واریزی از فروش]]-Table1[[#This Row],[برگشت از فروش]]</f>
        <v>0</v>
      </c>
      <c r="M6" s="5"/>
      <c r="N6" s="2"/>
    </row>
    <row r="7" spans="1:14" ht="22.5" customHeight="1" thickBot="1">
      <c r="A7" s="9">
        <f>ROW()-ROW(Table1[[#Headers],[نام بانک]])</f>
        <v>5</v>
      </c>
      <c r="B7" s="10" t="s">
        <v>17</v>
      </c>
      <c r="C7" s="11">
        <f>SUM(Table1[[#This Row],[جابه جایی خودمان]:[پوز (شاپرک)]])</f>
        <v>0</v>
      </c>
      <c r="D7" s="12"/>
      <c r="E7" s="12"/>
      <c r="F7" s="12"/>
      <c r="G7" s="12"/>
      <c r="H7" s="12"/>
      <c r="I7" s="12"/>
      <c r="J7" s="26">
        <f>Table1[[#This Row],[نقدی]]+Table1[[#This Row],[کارت به کارت مشتری]]+Table1[[#This Row],[وصول چک مشتری]]+Table1[[#This Row],[پوز (شاپرک)]]</f>
        <v>0</v>
      </c>
      <c r="K7" s="12"/>
      <c r="L7" s="25">
        <f>Table1[[#This Row],[جمع واریزی از فروش]]-Table1[[#This Row],[برگشت از فروش]]</f>
        <v>0</v>
      </c>
      <c r="M7" s="5"/>
      <c r="N7" s="2"/>
    </row>
    <row r="8" spans="1:14" ht="22.5" customHeight="1" thickBot="1">
      <c r="A8" s="9">
        <f>ROW()-ROW(Table1[[#Headers],[نام بانک]])</f>
        <v>6</v>
      </c>
      <c r="B8" s="10" t="s">
        <v>18</v>
      </c>
      <c r="C8" s="11">
        <f>SUM(Table1[[#This Row],[جابه جایی خودمان]:[پوز (شاپرک)]])</f>
        <v>4100000</v>
      </c>
      <c r="D8" s="13"/>
      <c r="E8" s="13"/>
      <c r="F8" s="13"/>
      <c r="G8" s="13"/>
      <c r="H8" s="13"/>
      <c r="I8" s="13">
        <f>مسکن!H11</f>
        <v>4100000</v>
      </c>
      <c r="J8" s="26">
        <f>Table1[[#This Row],[نقدی]]+Table1[[#This Row],[کارت به کارت مشتری]]+Table1[[#This Row],[وصول چک مشتری]]+Table1[[#This Row],[پوز (شاپرک)]]</f>
        <v>4100000</v>
      </c>
      <c r="K8" s="13"/>
      <c r="L8" s="25">
        <f>Table1[[#This Row],[جمع واریزی از فروش]]-Table1[[#This Row],[برگشت از فروش]]</f>
        <v>4100000</v>
      </c>
      <c r="M8" s="5"/>
      <c r="N8" s="2"/>
    </row>
    <row r="9" spans="1:14" ht="20.25" customHeight="1" thickBot="1">
      <c r="A9" s="9">
        <f>ROW()-ROW(Table1[[#Headers],[نام بانک]])</f>
        <v>7</v>
      </c>
      <c r="B9" s="10" t="s">
        <v>19</v>
      </c>
      <c r="C9" s="11">
        <f>SUM(Table1[[#This Row],[جابه جایی خودمان]:[پوز (شاپرک)]])</f>
        <v>415500000</v>
      </c>
      <c r="D9" s="12"/>
      <c r="E9" s="12"/>
      <c r="F9" s="12"/>
      <c r="G9" s="12"/>
      <c r="H9" s="12"/>
      <c r="I9" s="12">
        <f>ملت!B13</f>
        <v>415500000</v>
      </c>
      <c r="J9" s="26">
        <f>Table1[[#This Row],[نقدی]]+Table1[[#This Row],[کارت به کارت مشتری]]+Table1[[#This Row],[وصول چک مشتری]]+Table1[[#This Row],[پوز (شاپرک)]]</f>
        <v>415500000</v>
      </c>
      <c r="K9" s="12"/>
      <c r="L9" s="25">
        <f>Table1[[#This Row],[جمع واریزی از فروش]]-Table1[[#This Row],[برگشت از فروش]]</f>
        <v>415500000</v>
      </c>
      <c r="M9" s="5"/>
      <c r="N9" s="2"/>
    </row>
    <row r="10" spans="1:14" ht="22.5" customHeight="1" thickBot="1">
      <c r="A10" s="9">
        <f>ROW()-ROW(Table1[[#Headers],[نام بانک]])</f>
        <v>8</v>
      </c>
      <c r="B10" s="10" t="s">
        <v>20</v>
      </c>
      <c r="C10" s="11">
        <f>SUM(Table1[[#This Row],[جابه جایی خودمان]:[پوز (شاپرک)]])</f>
        <v>0</v>
      </c>
      <c r="D10" s="13"/>
      <c r="E10" s="13"/>
      <c r="F10" s="13"/>
      <c r="G10" s="13"/>
      <c r="H10" s="13"/>
      <c r="I10" s="13"/>
      <c r="J10" s="26">
        <f>Table1[[#This Row],[نقدی]]+Table1[[#This Row],[کارت به کارت مشتری]]+Table1[[#This Row],[وصول چک مشتری]]+Table1[[#This Row],[پوز (شاپرک)]]</f>
        <v>0</v>
      </c>
      <c r="K10" s="13"/>
      <c r="L10" s="25">
        <f>Table1[[#This Row],[جمع واریزی از فروش]]-Table1[[#This Row],[برگشت از فروش]]</f>
        <v>0</v>
      </c>
      <c r="M10" s="5"/>
      <c r="N10" s="2"/>
    </row>
    <row r="11" spans="1:14" ht="22.5" customHeight="1" thickBot="1">
      <c r="A11" s="9">
        <f>ROW()-ROW(Table1[[#Headers],[نام بانک]])</f>
        <v>9</v>
      </c>
      <c r="B11" s="10" t="s">
        <v>21</v>
      </c>
      <c r="C11" s="11">
        <f>SUM(Table1[[#This Row],[جابه جایی خودمان]:[پوز (شاپرک)]])</f>
        <v>2588165450</v>
      </c>
      <c r="D11" s="12">
        <f>پارسیان!E13</f>
        <v>1920000000</v>
      </c>
      <c r="E11" s="12"/>
      <c r="F11" s="12"/>
      <c r="G11" s="12"/>
      <c r="H11" s="12"/>
      <c r="I11" s="12">
        <f>پارسیان!E12</f>
        <v>668165450</v>
      </c>
      <c r="J11" s="26">
        <f>Table1[[#This Row],[نقدی]]+Table1[[#This Row],[کارت به کارت مشتری]]+Table1[[#This Row],[وصول چک مشتری]]+Table1[[#This Row],[پوز (شاپرک)]]</f>
        <v>668165450</v>
      </c>
      <c r="K11" s="12"/>
      <c r="L11" s="25">
        <f>Table1[[#This Row],[جمع واریزی از فروش]]-Table1[[#This Row],[برگشت از فروش]]</f>
        <v>668165450</v>
      </c>
      <c r="M11" s="5"/>
      <c r="N11" s="2"/>
    </row>
    <row r="12" spans="1:14" ht="22.5" customHeight="1" thickBot="1">
      <c r="A12" s="9">
        <f>ROW()-ROW(Table1[[#Headers],[نام بانک]])</f>
        <v>10</v>
      </c>
      <c r="B12" s="10" t="s">
        <v>22</v>
      </c>
      <c r="C12" s="11">
        <f>SUM(Table1[[#This Row],[جابه جایی خودمان]:[پوز (شاپرک)]])</f>
        <v>0</v>
      </c>
      <c r="D12" s="13"/>
      <c r="E12" s="13"/>
      <c r="F12" s="13"/>
      <c r="G12" s="13"/>
      <c r="H12" s="13"/>
      <c r="I12" s="13"/>
      <c r="J12" s="26">
        <f>Table1[[#This Row],[نقدی]]+Table1[[#This Row],[کارت به کارت مشتری]]+Table1[[#This Row],[وصول چک مشتری]]+Table1[[#This Row],[پوز (شاپرک)]]</f>
        <v>0</v>
      </c>
      <c r="K12" s="13"/>
      <c r="L12" s="25">
        <f>Table1[[#This Row],[جمع واریزی از فروش]]-Table1[[#This Row],[برگشت از فروش]]</f>
        <v>0</v>
      </c>
      <c r="M12" s="5"/>
      <c r="N12" s="2"/>
    </row>
    <row r="13" spans="1:14" ht="22.5" customHeight="1" thickBot="1">
      <c r="A13" s="9">
        <f>ROW()-ROW(Table1[[#Headers],[نام بانک]])</f>
        <v>11</v>
      </c>
      <c r="B13" s="10" t="s">
        <v>23</v>
      </c>
      <c r="C13" s="11">
        <f>SUM(Table1[[#This Row],[جابه جایی خودمان]:[پوز (شاپرک)]])</f>
        <v>0</v>
      </c>
      <c r="D13" s="12"/>
      <c r="E13" s="12"/>
      <c r="F13" s="12"/>
      <c r="G13" s="12"/>
      <c r="H13" s="12"/>
      <c r="I13" s="12"/>
      <c r="J13" s="26">
        <f>Table1[[#This Row],[نقدی]]+Table1[[#This Row],[کارت به کارت مشتری]]+Table1[[#This Row],[وصول چک مشتری]]+Table1[[#This Row],[پوز (شاپرک)]]</f>
        <v>0</v>
      </c>
      <c r="K13" s="12"/>
      <c r="L13" s="25">
        <f>Table1[[#This Row],[جمع واریزی از فروش]]-Table1[[#This Row],[برگشت از فروش]]</f>
        <v>0</v>
      </c>
      <c r="M13" s="5"/>
      <c r="N13" s="2"/>
    </row>
    <row r="14" spans="1:14" ht="22.5" customHeight="1" thickBot="1">
      <c r="A14" s="9">
        <v>12</v>
      </c>
      <c r="B14" s="10" t="s">
        <v>24</v>
      </c>
      <c r="C14" s="11">
        <f>SUM(Table1[[#This Row],[جابه جایی خودمان]:[پوز (شاپرک)]])</f>
        <v>0</v>
      </c>
      <c r="D14" s="13"/>
      <c r="E14" s="13"/>
      <c r="F14" s="13"/>
      <c r="G14" s="13"/>
      <c r="H14" s="13"/>
      <c r="I14" s="13"/>
      <c r="J14" s="26">
        <f>Table1[[#This Row],[نقدی]]+Table1[[#This Row],[کارت به کارت مشتری]]+Table1[[#This Row],[وصول چک مشتری]]+Table1[[#This Row],[پوز (شاپرک)]]</f>
        <v>0</v>
      </c>
      <c r="K14" s="13"/>
      <c r="L14" s="25">
        <f>Table1[[#This Row],[جمع واریزی از فروش]]-Table1[[#This Row],[برگشت از فروش]]</f>
        <v>0</v>
      </c>
      <c r="M14" s="5"/>
      <c r="N14" s="2"/>
    </row>
    <row r="15" spans="1:14" ht="22.5" customHeight="1" thickBot="1">
      <c r="A15" s="36">
        <v>13</v>
      </c>
      <c r="B15" s="37" t="s">
        <v>31</v>
      </c>
      <c r="C15" s="11">
        <f>SUM(Table1[[#This Row],[جابه جایی خودمان]:[پوز (شاپرک)]])</f>
        <v>836776690</v>
      </c>
      <c r="D15" s="40"/>
      <c r="E15" s="40"/>
      <c r="F15" s="40"/>
      <c r="G15" s="40"/>
      <c r="H15" s="40"/>
      <c r="I15" s="40">
        <f>'پارسیان 70004'!E5</f>
        <v>836776690</v>
      </c>
      <c r="J15" s="38">
        <f>Table1[[#This Row],[کارت به کارت مشتری]]+Table1[[#This Row],[وصول چک مشتری]]+Table1[[#This Row],[پوز (شاپرک)]]</f>
        <v>836776690</v>
      </c>
      <c r="K15" s="40"/>
      <c r="L15" s="39">
        <f>Table1[[#This Row],[جمع واریزی از فروش]]-Table1[[#This Row],[برگشت از فروش]]</f>
        <v>836776690</v>
      </c>
      <c r="M15" s="5"/>
      <c r="N15" s="2"/>
    </row>
    <row r="16" spans="1:14" ht="22.5" customHeight="1">
      <c r="A16" s="14"/>
      <c r="B16" s="15" t="s">
        <v>25</v>
      </c>
      <c r="C16" s="16">
        <f>SUBTOTAL(109,C3:C14)</f>
        <v>4735106180</v>
      </c>
      <c r="D16" s="16">
        <f>SUBTOTAL(109,D3:D15)</f>
        <v>1920000000</v>
      </c>
      <c r="E16" s="16">
        <f t="shared" ref="E16:I16" si="0">SUBTOTAL(109,E3:E15)</f>
        <v>0</v>
      </c>
      <c r="F16" s="16">
        <f t="shared" si="0"/>
        <v>0</v>
      </c>
      <c r="G16" s="16">
        <f t="shared" si="0"/>
        <v>0</v>
      </c>
      <c r="H16" s="16">
        <f t="shared" si="0"/>
        <v>0</v>
      </c>
      <c r="I16" s="16">
        <f t="shared" si="0"/>
        <v>3651882870</v>
      </c>
      <c r="J16" s="16">
        <f t="shared" ref="J16" si="1">SUBTOTAL(109,J3:J15)</f>
        <v>3651882870</v>
      </c>
      <c r="K16" s="16">
        <f t="shared" ref="K16" si="2">SUBTOTAL(109,K3:K15)</f>
        <v>0</v>
      </c>
      <c r="L16" s="16">
        <f t="shared" ref="L16" si="3">SUBTOTAL(109,L3:L15)</f>
        <v>3651882870</v>
      </c>
      <c r="M16" s="2"/>
      <c r="N16" s="2"/>
    </row>
    <row r="17" spans="2:14" ht="22.5" customHeight="1" thickBot="1">
      <c r="E17" s="4"/>
      <c r="F17" s="2"/>
      <c r="G17" s="2"/>
      <c r="I17" s="7"/>
      <c r="J17" s="7"/>
      <c r="K17" s="33" t="s">
        <v>26</v>
      </c>
      <c r="L17" s="34" t="s">
        <v>27</v>
      </c>
      <c r="N17" s="3"/>
    </row>
    <row r="18" spans="2:14" ht="22.5" customHeight="1" thickBot="1">
      <c r="B18" s="3"/>
      <c r="C18" s="3"/>
      <c r="D18" s="3"/>
      <c r="E18" s="2"/>
      <c r="F18" s="3"/>
      <c r="G18" s="3"/>
      <c r="I18" s="3"/>
      <c r="J18" s="3"/>
      <c r="K18" s="29" t="s">
        <v>28</v>
      </c>
      <c r="L18" s="30">
        <f>'1'!BA138</f>
        <v>0</v>
      </c>
      <c r="N18" s="3"/>
    </row>
    <row r="19" spans="2:14" ht="22.5" customHeight="1" thickBot="1">
      <c r="B19" s="3"/>
      <c r="C19" s="3"/>
      <c r="D19" s="3"/>
      <c r="E19" s="2"/>
      <c r="F19" s="3"/>
      <c r="G19" s="3"/>
      <c r="I19" s="3"/>
      <c r="J19" s="3"/>
      <c r="K19" s="18" t="s">
        <v>12</v>
      </c>
      <c r="L19" s="17">
        <f>L16</f>
        <v>3651882870</v>
      </c>
      <c r="N19" s="3"/>
    </row>
    <row r="20" spans="2:14" ht="22.5" customHeight="1">
      <c r="B20" s="3"/>
      <c r="C20" s="3"/>
      <c r="D20" s="3"/>
      <c r="E20" s="2"/>
      <c r="F20" s="3"/>
      <c r="G20" s="3"/>
      <c r="I20" s="3"/>
      <c r="J20" s="3"/>
      <c r="K20" s="31" t="s">
        <v>29</v>
      </c>
      <c r="L20" s="32">
        <f>L18-L19</f>
        <v>-3651882870</v>
      </c>
      <c r="N20" s="3"/>
    </row>
    <row r="21" spans="2:14" ht="22.5" customHeight="1">
      <c r="B21" s="3"/>
      <c r="C21" s="3"/>
      <c r="D21" s="3"/>
      <c r="E21" s="2"/>
      <c r="F21" s="3"/>
      <c r="G21" s="3"/>
      <c r="I21" s="3"/>
      <c r="J21" s="3"/>
      <c r="K21" s="3"/>
      <c r="L21" s="3"/>
      <c r="M21" s="3"/>
      <c r="N21" s="3"/>
    </row>
  </sheetData>
  <mergeCells count="1">
    <mergeCell ref="F1:I1"/>
  </mergeCells>
  <pageMargins left="0.7" right="0.7" top="0.75" bottom="0.75" header="0.3" footer="0.3"/>
  <pageSetup orientation="portrait" r:id="rId1"/>
  <ignoredErrors>
    <ignoredError sqref="J3:J14 J16" calculatedColumn="1"/>
  </ignoredErrors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27"/>
  <sheetViews>
    <sheetView rightToLeft="1" topLeftCell="I15" zoomScale="145" zoomScaleNormal="145" workbookViewId="0">
      <selection activeCell="L20" sqref="L20:L21"/>
    </sheetView>
  </sheetViews>
  <sheetFormatPr defaultRowHeight="14.25" customHeight="1"/>
  <cols>
    <col min="1" max="1" width="6.5" style="62" customWidth="1"/>
    <col min="2" max="5" width="13.375" style="62" customWidth="1"/>
    <col min="6" max="6" width="12.125" style="62" customWidth="1"/>
    <col min="7" max="7" width="13.875" style="62" customWidth="1"/>
    <col min="8" max="8" width="23.125" style="62" customWidth="1"/>
    <col min="9" max="9" width="15" style="62" customWidth="1"/>
    <col min="10" max="11" width="10.875" style="62" customWidth="1"/>
    <col min="12" max="12" width="10.875" style="62" bestFit="1" customWidth="1"/>
    <col min="13" max="13" width="10.5" style="62" customWidth="1"/>
    <col min="14" max="14" width="15.375" style="62" customWidth="1"/>
    <col min="15" max="15" width="11.125" style="62" customWidth="1"/>
    <col min="16" max="17" width="9.5" style="62" customWidth="1"/>
    <col min="18" max="16384" width="9" style="62"/>
  </cols>
  <sheetData>
    <row r="1" spans="1:17" ht="14.25" customHeight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</row>
    <row r="2" spans="1:17" ht="14.25" customHeight="1">
      <c r="A2" s="61"/>
      <c r="B2" s="61"/>
      <c r="C2" s="61"/>
      <c r="D2" s="61"/>
      <c r="E2" s="154" t="s">
        <v>79</v>
      </c>
      <c r="F2" s="155"/>
      <c r="G2" s="61"/>
      <c r="H2" s="61"/>
      <c r="I2" s="156"/>
      <c r="J2" s="156"/>
      <c r="K2" s="156"/>
      <c r="L2" s="156"/>
      <c r="M2" s="156"/>
      <c r="N2" s="61"/>
      <c r="O2" s="61"/>
      <c r="P2" s="61"/>
      <c r="Q2" s="61"/>
    </row>
    <row r="3" spans="1:17" ht="14.25" customHeight="1">
      <c r="A3" s="61"/>
      <c r="B3" s="63" t="s">
        <v>80</v>
      </c>
      <c r="C3" s="64" t="s">
        <v>81</v>
      </c>
      <c r="D3" s="61"/>
      <c r="E3" s="155"/>
      <c r="F3" s="155"/>
      <c r="G3" s="61"/>
      <c r="H3" s="61"/>
      <c r="I3" s="156"/>
      <c r="J3" s="156"/>
      <c r="K3" s="156"/>
      <c r="L3" s="156"/>
      <c r="M3" s="156"/>
      <c r="N3" s="61"/>
      <c r="O3" s="61"/>
      <c r="P3" s="61"/>
      <c r="Q3" s="61"/>
    </row>
    <row r="4" spans="1:17" ht="14.25" customHeight="1">
      <c r="A4" s="61"/>
      <c r="B4" s="61"/>
      <c r="C4" s="61"/>
      <c r="D4" s="61"/>
      <c r="E4" s="155"/>
      <c r="F4" s="155"/>
      <c r="G4" s="61"/>
      <c r="H4" s="61"/>
      <c r="I4" s="156"/>
      <c r="J4" s="156"/>
      <c r="K4" s="156"/>
      <c r="L4" s="156"/>
      <c r="M4" s="156"/>
      <c r="N4" s="61"/>
      <c r="O4" s="61"/>
      <c r="P4" s="61"/>
      <c r="Q4" s="61"/>
    </row>
    <row r="5" spans="1:17" ht="14.25" customHeight="1">
      <c r="A5" s="61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</row>
    <row r="6" spans="1:17" ht="14.25" customHeight="1">
      <c r="A6" s="61"/>
      <c r="B6" s="61"/>
      <c r="C6" s="61"/>
      <c r="D6" s="61"/>
      <c r="E6" s="65" t="s">
        <v>82</v>
      </c>
      <c r="F6" s="65" t="s">
        <v>83</v>
      </c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</row>
    <row r="7" spans="1:17" ht="14.25" customHeight="1">
      <c r="A7" s="61"/>
      <c r="B7" s="61"/>
      <c r="C7" s="61"/>
      <c r="D7" s="61"/>
      <c r="E7" s="65" t="s">
        <v>82</v>
      </c>
      <c r="F7" s="65" t="s">
        <v>84</v>
      </c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</row>
    <row r="8" spans="1:17" ht="14.25" customHeight="1">
      <c r="A8" s="61"/>
      <c r="B8" s="61"/>
      <c r="C8" s="61"/>
      <c r="D8" s="61"/>
      <c r="E8" s="65" t="s">
        <v>85</v>
      </c>
      <c r="F8" s="65" t="s">
        <v>86</v>
      </c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</row>
    <row r="9" spans="1:17" ht="14.25" customHeight="1">
      <c r="A9" s="61"/>
      <c r="B9" s="61"/>
      <c r="C9" s="61"/>
      <c r="D9" s="61"/>
      <c r="E9" s="65" t="s">
        <v>87</v>
      </c>
      <c r="F9" s="65" t="s">
        <v>88</v>
      </c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</row>
    <row r="10" spans="1:17" ht="14.25" customHeight="1">
      <c r="A10" s="61"/>
      <c r="B10" s="61"/>
      <c r="C10" s="61"/>
      <c r="D10" s="61"/>
      <c r="E10" s="61"/>
      <c r="F10" s="65" t="s">
        <v>89</v>
      </c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</row>
    <row r="11" spans="1:17" ht="14.25" customHeight="1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</row>
    <row r="12" spans="1:17" ht="14.25" customHeight="1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</row>
    <row r="13" spans="1:17" ht="14.25" customHeight="1">
      <c r="A13" s="61"/>
      <c r="B13" s="61"/>
      <c r="C13" s="61"/>
      <c r="D13" s="61"/>
      <c r="E13" s="61"/>
      <c r="F13" s="61"/>
      <c r="G13" s="66" t="s">
        <v>90</v>
      </c>
      <c r="H13" s="61"/>
      <c r="I13" s="61"/>
      <c r="J13" s="61"/>
      <c r="K13" s="61"/>
      <c r="L13" s="61"/>
      <c r="M13" s="61"/>
      <c r="N13" s="61"/>
      <c r="O13" s="61"/>
      <c r="P13" s="61"/>
      <c r="Q13" s="61"/>
    </row>
    <row r="14" spans="1:17" ht="14.25" customHeight="1">
      <c r="A14" s="61"/>
      <c r="B14" s="67" t="s">
        <v>91</v>
      </c>
      <c r="C14" s="67" t="s">
        <v>92</v>
      </c>
      <c r="D14" s="67" t="s">
        <v>93</v>
      </c>
      <c r="E14" s="67" t="s">
        <v>94</v>
      </c>
      <c r="F14" s="67" t="s">
        <v>95</v>
      </c>
      <c r="G14" s="67" t="s">
        <v>96</v>
      </c>
      <c r="H14" s="61"/>
      <c r="I14" s="61"/>
      <c r="J14" s="61"/>
      <c r="K14" s="61"/>
      <c r="L14" s="61"/>
      <c r="M14" s="61"/>
      <c r="N14" s="61"/>
      <c r="O14" s="61"/>
      <c r="P14" s="61"/>
      <c r="Q14" s="61"/>
    </row>
    <row r="15" spans="1:17" ht="14.25" customHeight="1">
      <c r="A15" s="61"/>
      <c r="B15" s="68" t="s">
        <v>97</v>
      </c>
      <c r="C15" s="68" t="s">
        <v>98</v>
      </c>
      <c r="D15" s="68" t="s">
        <v>99</v>
      </c>
      <c r="E15" s="68" t="s">
        <v>100</v>
      </c>
      <c r="F15" s="68" t="s">
        <v>101</v>
      </c>
      <c r="G15" s="68" t="s">
        <v>102</v>
      </c>
      <c r="H15" s="61"/>
      <c r="I15" s="61"/>
      <c r="J15" s="61"/>
      <c r="K15" s="61"/>
      <c r="L15" s="61"/>
      <c r="M15" s="61"/>
      <c r="N15" s="61"/>
      <c r="O15" s="61"/>
      <c r="P15" s="61"/>
      <c r="Q15" s="61"/>
    </row>
    <row r="16" spans="1:17" ht="14.25" customHeight="1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</row>
    <row r="17" spans="1:17" ht="14.25" customHeight="1" thickBot="1">
      <c r="A17" s="61"/>
      <c r="B17" s="61"/>
      <c r="C17" s="61"/>
      <c r="D17" s="61"/>
      <c r="E17" s="61"/>
      <c r="F17" s="61"/>
      <c r="G17" s="61"/>
      <c r="H17" s="61"/>
      <c r="I17" s="66" t="s">
        <v>103</v>
      </c>
      <c r="J17" s="61"/>
      <c r="K17" s="61"/>
      <c r="L17" s="61"/>
      <c r="M17" s="61"/>
      <c r="N17" s="61"/>
      <c r="O17" s="61"/>
      <c r="P17" s="61"/>
      <c r="Q17" s="61"/>
    </row>
    <row r="18" spans="1:17" ht="14.25" customHeight="1">
      <c r="A18" s="61"/>
      <c r="B18" s="69" t="s">
        <v>104</v>
      </c>
      <c r="C18" s="70" t="s">
        <v>105</v>
      </c>
      <c r="D18" s="70" t="s">
        <v>106</v>
      </c>
      <c r="E18" s="70" t="s">
        <v>107</v>
      </c>
      <c r="F18" s="71" t="s">
        <v>108</v>
      </c>
      <c r="G18" s="71" t="s">
        <v>109</v>
      </c>
      <c r="H18" s="71" t="s">
        <v>110</v>
      </c>
      <c r="I18" s="71" t="s">
        <v>111</v>
      </c>
      <c r="J18" s="71" t="s">
        <v>42</v>
      </c>
      <c r="K18" s="72" t="s">
        <v>112</v>
      </c>
      <c r="L18" s="70" t="s">
        <v>113</v>
      </c>
      <c r="M18" s="70" t="s">
        <v>114</v>
      </c>
      <c r="N18" s="71" t="s">
        <v>115</v>
      </c>
      <c r="O18" s="71" t="s">
        <v>116</v>
      </c>
      <c r="P18" s="71" t="s">
        <v>117</v>
      </c>
      <c r="Q18" s="73" t="s">
        <v>118</v>
      </c>
    </row>
    <row r="19" spans="1:17" ht="14.25" customHeight="1">
      <c r="A19" s="61"/>
      <c r="B19" s="74" t="s">
        <v>119</v>
      </c>
      <c r="C19" s="75" t="s">
        <v>120</v>
      </c>
      <c r="D19" s="75" t="s">
        <v>87</v>
      </c>
      <c r="E19" s="75" t="s">
        <v>87</v>
      </c>
      <c r="F19" s="75" t="s">
        <v>120</v>
      </c>
      <c r="G19" s="75" t="s">
        <v>121</v>
      </c>
      <c r="H19" s="75" t="s">
        <v>122</v>
      </c>
      <c r="I19" s="75" t="s">
        <v>87</v>
      </c>
      <c r="J19" s="75" t="s">
        <v>123</v>
      </c>
      <c r="K19" s="75" t="s">
        <v>124</v>
      </c>
      <c r="L19" s="75">
        <v>0</v>
      </c>
      <c r="M19" s="76">
        <v>8496</v>
      </c>
      <c r="N19" s="75" t="s">
        <v>125</v>
      </c>
      <c r="O19" s="75" t="s">
        <v>126</v>
      </c>
      <c r="P19" s="75" t="s">
        <v>32</v>
      </c>
      <c r="Q19" s="77" t="s">
        <v>127</v>
      </c>
    </row>
    <row r="20" spans="1:17" ht="14.25" customHeight="1">
      <c r="A20" s="61"/>
      <c r="B20" s="74" t="s">
        <v>119</v>
      </c>
      <c r="C20" s="75" t="s">
        <v>120</v>
      </c>
      <c r="D20" s="75" t="s">
        <v>87</v>
      </c>
      <c r="E20" s="75" t="s">
        <v>87</v>
      </c>
      <c r="F20" s="75" t="s">
        <v>120</v>
      </c>
      <c r="G20" s="75" t="s">
        <v>128</v>
      </c>
      <c r="H20" s="75" t="s">
        <v>129</v>
      </c>
      <c r="I20" s="75" t="s">
        <v>87</v>
      </c>
      <c r="J20" s="75" t="s">
        <v>123</v>
      </c>
      <c r="K20" s="75" t="s">
        <v>130</v>
      </c>
      <c r="L20" s="76">
        <v>42480000</v>
      </c>
      <c r="M20" s="75">
        <v>0</v>
      </c>
      <c r="N20" s="75" t="s">
        <v>131</v>
      </c>
      <c r="O20" s="75" t="s">
        <v>126</v>
      </c>
      <c r="P20" s="75" t="s">
        <v>32</v>
      </c>
      <c r="Q20" s="77" t="s">
        <v>127</v>
      </c>
    </row>
    <row r="21" spans="1:17" ht="14.25" customHeight="1">
      <c r="A21" s="61"/>
      <c r="B21" s="74" t="s">
        <v>132</v>
      </c>
      <c r="C21" s="75" t="s">
        <v>120</v>
      </c>
      <c r="D21" s="75" t="s">
        <v>87</v>
      </c>
      <c r="E21" s="75" t="s">
        <v>87</v>
      </c>
      <c r="F21" s="75" t="s">
        <v>120</v>
      </c>
      <c r="G21" s="75" t="s">
        <v>133</v>
      </c>
      <c r="H21" s="75" t="s">
        <v>129</v>
      </c>
      <c r="I21" s="75" t="s">
        <v>87</v>
      </c>
      <c r="J21" s="75" t="s">
        <v>123</v>
      </c>
      <c r="K21" s="75" t="s">
        <v>130</v>
      </c>
      <c r="L21" s="76">
        <v>112440000</v>
      </c>
      <c r="M21" s="75">
        <v>0</v>
      </c>
      <c r="N21" s="75" t="s">
        <v>134</v>
      </c>
      <c r="O21" s="75" t="s">
        <v>135</v>
      </c>
      <c r="P21" s="75" t="s">
        <v>32</v>
      </c>
      <c r="Q21" s="77" t="s">
        <v>127</v>
      </c>
    </row>
    <row r="23" spans="1:17" ht="14.25" customHeight="1">
      <c r="K23" s="78" t="s">
        <v>136</v>
      </c>
      <c r="L23" s="79">
        <f>SUM(L20:L21)</f>
        <v>154920000</v>
      </c>
      <c r="M23" s="79">
        <f>SUM(M19)</f>
        <v>8496</v>
      </c>
    </row>
    <row r="25" spans="1:17" ht="14.25" customHeight="1">
      <c r="K25" s="78" t="s">
        <v>130</v>
      </c>
      <c r="L25" s="79">
        <f>SUM(L20:L21)</f>
        <v>154920000</v>
      </c>
      <c r="M25" s="80"/>
    </row>
    <row r="26" spans="1:17" ht="14.25" customHeight="1">
      <c r="K26" s="78" t="s">
        <v>124</v>
      </c>
      <c r="L26" s="80"/>
      <c r="M26" s="79">
        <f>M19</f>
        <v>8496</v>
      </c>
    </row>
    <row r="27" spans="1:17" ht="14.25" customHeight="1">
      <c r="K27" s="78" t="s">
        <v>136</v>
      </c>
      <c r="L27" s="79">
        <f>SUM(L25)</f>
        <v>154920000</v>
      </c>
      <c r="M27" s="79">
        <f>SUM(M26)</f>
        <v>8496</v>
      </c>
    </row>
  </sheetData>
  <mergeCells count="2">
    <mergeCell ref="E2:F4"/>
    <mergeCell ref="I2:M4"/>
  </mergeCells>
  <pageMargins left="0.27777777777777779" right="0.27777777777777779" top="0.27777777777777779" bottom="0.27777777777777779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29"/>
  <sheetViews>
    <sheetView rightToLeft="1" topLeftCell="I17" zoomScale="145" zoomScaleNormal="145" workbookViewId="0">
      <selection activeCell="L19" sqref="L19:L20"/>
    </sheetView>
  </sheetViews>
  <sheetFormatPr defaultRowHeight="16.5" customHeight="1"/>
  <cols>
    <col min="1" max="1" width="6.5" style="82" customWidth="1"/>
    <col min="2" max="5" width="13.375" style="82" customWidth="1"/>
    <col min="6" max="6" width="12.125" style="82" customWidth="1"/>
    <col min="7" max="7" width="13.875" style="82" customWidth="1"/>
    <col min="8" max="8" width="23.125" style="82" customWidth="1"/>
    <col min="9" max="9" width="15" style="82" customWidth="1"/>
    <col min="10" max="11" width="10.875" style="82" customWidth="1"/>
    <col min="12" max="13" width="12.375" style="82" bestFit="1" customWidth="1"/>
    <col min="14" max="14" width="15.375" style="82" customWidth="1"/>
    <col min="15" max="15" width="11.125" style="82" customWidth="1"/>
    <col min="16" max="17" width="9.5" style="82" customWidth="1"/>
    <col min="18" max="16384" width="9" style="82"/>
  </cols>
  <sheetData>
    <row r="1" spans="1:17" ht="16.5" customHeight="1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</row>
    <row r="2" spans="1:17" ht="16.5" customHeight="1">
      <c r="A2" s="81"/>
      <c r="B2" s="81"/>
      <c r="C2" s="81"/>
      <c r="D2" s="81"/>
      <c r="E2" s="157" t="s">
        <v>79</v>
      </c>
      <c r="F2" s="158"/>
      <c r="G2" s="81"/>
      <c r="H2" s="81"/>
      <c r="I2" s="159"/>
      <c r="J2" s="159"/>
      <c r="K2" s="159"/>
      <c r="L2" s="159"/>
      <c r="M2" s="159"/>
      <c r="N2" s="81"/>
      <c r="O2" s="81"/>
      <c r="P2" s="81"/>
      <c r="Q2" s="81"/>
    </row>
    <row r="3" spans="1:17" ht="16.5" customHeight="1">
      <c r="A3" s="81"/>
      <c r="B3" s="83" t="s">
        <v>80</v>
      </c>
      <c r="C3" s="84" t="s">
        <v>81</v>
      </c>
      <c r="D3" s="81"/>
      <c r="E3" s="158"/>
      <c r="F3" s="158"/>
      <c r="G3" s="81"/>
      <c r="H3" s="81"/>
      <c r="I3" s="159"/>
      <c r="J3" s="159"/>
      <c r="K3" s="159"/>
      <c r="L3" s="159"/>
      <c r="M3" s="159"/>
      <c r="N3" s="81"/>
      <c r="O3" s="81"/>
      <c r="P3" s="81"/>
      <c r="Q3" s="81"/>
    </row>
    <row r="4" spans="1:17" ht="16.5" customHeight="1">
      <c r="A4" s="81"/>
      <c r="B4" s="81"/>
      <c r="C4" s="81"/>
      <c r="D4" s="81"/>
      <c r="E4" s="158"/>
      <c r="F4" s="158"/>
      <c r="G4" s="81"/>
      <c r="H4" s="81"/>
      <c r="I4" s="159"/>
      <c r="J4" s="159"/>
      <c r="K4" s="159"/>
      <c r="L4" s="159"/>
      <c r="M4" s="159"/>
      <c r="N4" s="81"/>
      <c r="O4" s="81"/>
      <c r="P4" s="81"/>
      <c r="Q4" s="81"/>
    </row>
    <row r="5" spans="1:17" ht="16.5" customHeight="1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</row>
    <row r="6" spans="1:17" ht="16.5" customHeight="1">
      <c r="A6" s="81"/>
      <c r="B6" s="81"/>
      <c r="C6" s="81"/>
      <c r="D6" s="81"/>
      <c r="E6" s="85" t="s">
        <v>82</v>
      </c>
      <c r="F6" s="85" t="s">
        <v>83</v>
      </c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</row>
    <row r="7" spans="1:17" ht="16.5" customHeight="1">
      <c r="A7" s="81"/>
      <c r="B7" s="81"/>
      <c r="C7" s="81"/>
      <c r="D7" s="81"/>
      <c r="E7" s="85" t="s">
        <v>82</v>
      </c>
      <c r="F7" s="85" t="s">
        <v>84</v>
      </c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</row>
    <row r="8" spans="1:17" ht="16.5" customHeight="1">
      <c r="A8" s="81"/>
      <c r="B8" s="81"/>
      <c r="C8" s="81"/>
      <c r="D8" s="81"/>
      <c r="E8" s="85" t="s">
        <v>85</v>
      </c>
      <c r="F8" s="85" t="s">
        <v>86</v>
      </c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</row>
    <row r="9" spans="1:17" ht="16.5" customHeight="1">
      <c r="A9" s="81"/>
      <c r="B9" s="81"/>
      <c r="C9" s="81"/>
      <c r="D9" s="81"/>
      <c r="E9" s="85" t="s">
        <v>87</v>
      </c>
      <c r="F9" s="85" t="s">
        <v>88</v>
      </c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</row>
    <row r="10" spans="1:17" ht="16.5" customHeight="1">
      <c r="A10" s="81"/>
      <c r="B10" s="81"/>
      <c r="C10" s="81"/>
      <c r="D10" s="81"/>
      <c r="E10" s="81"/>
      <c r="F10" s="85" t="s">
        <v>89</v>
      </c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</row>
    <row r="11" spans="1:17" ht="16.5" customHeight="1">
      <c r="A11" s="81"/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</row>
    <row r="12" spans="1:17" ht="16.5" customHeight="1">
      <c r="A12" s="81"/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</row>
    <row r="13" spans="1:17" ht="16.5" customHeight="1">
      <c r="A13" s="81"/>
      <c r="B13" s="81"/>
      <c r="C13" s="81"/>
      <c r="D13" s="81"/>
      <c r="E13" s="81"/>
      <c r="F13" s="81"/>
      <c r="G13" s="86" t="s">
        <v>90</v>
      </c>
      <c r="H13" s="81"/>
      <c r="I13" s="81"/>
      <c r="J13" s="81"/>
      <c r="K13" s="81"/>
      <c r="L13" s="81"/>
      <c r="M13" s="81"/>
      <c r="N13" s="81"/>
      <c r="O13" s="81"/>
      <c r="P13" s="81"/>
      <c r="Q13" s="81"/>
    </row>
    <row r="14" spans="1:17" ht="16.5" customHeight="1">
      <c r="A14" s="81"/>
      <c r="B14" s="87" t="s">
        <v>91</v>
      </c>
      <c r="C14" s="87" t="s">
        <v>92</v>
      </c>
      <c r="D14" s="87" t="s">
        <v>93</v>
      </c>
      <c r="E14" s="87" t="s">
        <v>94</v>
      </c>
      <c r="F14" s="87" t="s">
        <v>95</v>
      </c>
      <c r="G14" s="87" t="s">
        <v>96</v>
      </c>
      <c r="H14" s="81"/>
      <c r="I14" s="81"/>
      <c r="J14" s="81"/>
      <c r="K14" s="81"/>
      <c r="L14" s="81"/>
      <c r="M14" s="81"/>
      <c r="N14" s="81"/>
      <c r="O14" s="81"/>
      <c r="P14" s="81"/>
      <c r="Q14" s="81"/>
    </row>
    <row r="15" spans="1:17" ht="16.5" customHeight="1">
      <c r="A15" s="81"/>
      <c r="B15" s="88" t="s">
        <v>137</v>
      </c>
      <c r="C15" s="88" t="s">
        <v>138</v>
      </c>
      <c r="D15" s="88" t="s">
        <v>139</v>
      </c>
      <c r="E15" s="88" t="s">
        <v>140</v>
      </c>
      <c r="F15" s="88" t="s">
        <v>141</v>
      </c>
      <c r="G15" s="88" t="s">
        <v>142</v>
      </c>
      <c r="H15" s="81"/>
      <c r="I15" s="81"/>
      <c r="J15" s="81"/>
      <c r="K15" s="81"/>
      <c r="L15" s="81"/>
      <c r="M15" s="81"/>
      <c r="N15" s="81"/>
      <c r="O15" s="81"/>
      <c r="P15" s="81"/>
      <c r="Q15" s="81"/>
    </row>
    <row r="16" spans="1:17" ht="16.5" customHeight="1">
      <c r="A16" s="81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</row>
    <row r="17" spans="1:17" ht="16.5" customHeight="1" thickBot="1">
      <c r="A17" s="81"/>
      <c r="B17" s="81"/>
      <c r="C17" s="81"/>
      <c r="D17" s="81"/>
      <c r="E17" s="81"/>
      <c r="F17" s="81"/>
      <c r="G17" s="81"/>
      <c r="H17" s="81"/>
      <c r="I17" s="86" t="s">
        <v>103</v>
      </c>
      <c r="J17" s="81"/>
      <c r="K17" s="81"/>
      <c r="L17" s="81"/>
      <c r="M17" s="81"/>
      <c r="N17" s="81"/>
      <c r="O17" s="81"/>
      <c r="P17" s="81"/>
      <c r="Q17" s="81"/>
    </row>
    <row r="18" spans="1:17" ht="16.5" customHeight="1">
      <c r="A18" s="81"/>
      <c r="B18" s="89" t="s">
        <v>104</v>
      </c>
      <c r="C18" s="90" t="s">
        <v>105</v>
      </c>
      <c r="D18" s="90" t="s">
        <v>106</v>
      </c>
      <c r="E18" s="90" t="s">
        <v>107</v>
      </c>
      <c r="F18" s="91" t="s">
        <v>108</v>
      </c>
      <c r="G18" s="91" t="s">
        <v>109</v>
      </c>
      <c r="H18" s="91" t="s">
        <v>110</v>
      </c>
      <c r="I18" s="91" t="s">
        <v>111</v>
      </c>
      <c r="J18" s="91" t="s">
        <v>42</v>
      </c>
      <c r="K18" s="92" t="s">
        <v>112</v>
      </c>
      <c r="L18" s="90" t="s">
        <v>113</v>
      </c>
      <c r="M18" s="90" t="s">
        <v>114</v>
      </c>
      <c r="N18" s="91" t="s">
        <v>115</v>
      </c>
      <c r="O18" s="91" t="s">
        <v>116</v>
      </c>
      <c r="P18" s="91" t="s">
        <v>117</v>
      </c>
      <c r="Q18" s="93" t="s">
        <v>118</v>
      </c>
    </row>
    <row r="19" spans="1:17" ht="16.5" customHeight="1">
      <c r="A19" s="81"/>
      <c r="B19" s="94" t="s">
        <v>143</v>
      </c>
      <c r="C19" s="95" t="s">
        <v>120</v>
      </c>
      <c r="D19" s="95" t="s">
        <v>87</v>
      </c>
      <c r="E19" s="95" t="s">
        <v>87</v>
      </c>
      <c r="F19" s="95" t="s">
        <v>120</v>
      </c>
      <c r="G19" s="95" t="s">
        <v>133</v>
      </c>
      <c r="H19" s="95" t="s">
        <v>129</v>
      </c>
      <c r="I19" s="95" t="s">
        <v>87</v>
      </c>
      <c r="J19" s="95" t="s">
        <v>123</v>
      </c>
      <c r="K19" s="95" t="s">
        <v>130</v>
      </c>
      <c r="L19" s="96">
        <v>1221502580</v>
      </c>
      <c r="M19" s="95">
        <v>0</v>
      </c>
      <c r="N19" s="95" t="s">
        <v>144</v>
      </c>
      <c r="O19" s="95" t="s">
        <v>145</v>
      </c>
      <c r="P19" s="95" t="s">
        <v>32</v>
      </c>
      <c r="Q19" s="97" t="s">
        <v>146</v>
      </c>
    </row>
    <row r="20" spans="1:17" ht="16.5" customHeight="1">
      <c r="A20" s="81"/>
      <c r="B20" s="94" t="s">
        <v>147</v>
      </c>
      <c r="C20" s="95" t="s">
        <v>120</v>
      </c>
      <c r="D20" s="95" t="s">
        <v>87</v>
      </c>
      <c r="E20" s="95" t="s">
        <v>87</v>
      </c>
      <c r="F20" s="95" t="s">
        <v>120</v>
      </c>
      <c r="G20" s="95" t="s">
        <v>133</v>
      </c>
      <c r="H20" s="95" t="s">
        <v>129</v>
      </c>
      <c r="I20" s="95" t="s">
        <v>87</v>
      </c>
      <c r="J20" s="95" t="s">
        <v>123</v>
      </c>
      <c r="K20" s="95" t="s">
        <v>130</v>
      </c>
      <c r="L20" s="96">
        <v>150718150</v>
      </c>
      <c r="M20" s="95">
        <v>0</v>
      </c>
      <c r="N20" s="95" t="s">
        <v>148</v>
      </c>
      <c r="O20" s="95" t="s">
        <v>149</v>
      </c>
      <c r="P20" s="95" t="s">
        <v>32</v>
      </c>
      <c r="Q20" s="97" t="s">
        <v>146</v>
      </c>
    </row>
    <row r="21" spans="1:17" ht="16.5" customHeight="1">
      <c r="A21" s="81"/>
      <c r="B21" s="94" t="s">
        <v>150</v>
      </c>
      <c r="C21" s="95" t="s">
        <v>151</v>
      </c>
      <c r="D21" s="95" t="s">
        <v>87</v>
      </c>
      <c r="E21" s="95" t="s">
        <v>87</v>
      </c>
      <c r="F21" s="95" t="s">
        <v>152</v>
      </c>
      <c r="G21" s="95" t="s">
        <v>87</v>
      </c>
      <c r="H21" s="95" t="s">
        <v>153</v>
      </c>
      <c r="I21" s="95" t="s">
        <v>87</v>
      </c>
      <c r="J21" s="95" t="s">
        <v>123</v>
      </c>
      <c r="K21" s="95" t="s">
        <v>154</v>
      </c>
      <c r="L21" s="95">
        <v>0</v>
      </c>
      <c r="M21" s="96">
        <v>1920000000</v>
      </c>
      <c r="N21" s="95" t="s">
        <v>155</v>
      </c>
      <c r="O21" s="95" t="s">
        <v>156</v>
      </c>
      <c r="P21" s="95" t="s">
        <v>32</v>
      </c>
      <c r="Q21" s="97" t="s">
        <v>146</v>
      </c>
    </row>
    <row r="22" spans="1:17" ht="16.5" customHeight="1">
      <c r="A22" s="81"/>
      <c r="B22" s="94" t="s">
        <v>87</v>
      </c>
      <c r="C22" s="95" t="s">
        <v>87</v>
      </c>
      <c r="D22" s="95" t="s">
        <v>87</v>
      </c>
      <c r="E22" s="95" t="s">
        <v>87</v>
      </c>
      <c r="F22" s="95" t="s">
        <v>152</v>
      </c>
      <c r="G22" s="95" t="s">
        <v>87</v>
      </c>
      <c r="H22" s="95" t="s">
        <v>157</v>
      </c>
      <c r="I22" s="95" t="s">
        <v>87</v>
      </c>
      <c r="J22" s="95" t="s">
        <v>123</v>
      </c>
      <c r="K22" s="95" t="s">
        <v>124</v>
      </c>
      <c r="L22" s="95">
        <v>0</v>
      </c>
      <c r="M22" s="96">
        <v>75000</v>
      </c>
      <c r="N22" s="95" t="s">
        <v>158</v>
      </c>
      <c r="O22" s="95" t="s">
        <v>156</v>
      </c>
      <c r="P22" s="95" t="s">
        <v>32</v>
      </c>
      <c r="Q22" s="97" t="s">
        <v>146</v>
      </c>
    </row>
    <row r="24" spans="1:17" ht="16.5" customHeight="1">
      <c r="K24" s="98" t="s">
        <v>136</v>
      </c>
      <c r="L24" s="99">
        <f>SUM(L19:L20)</f>
        <v>1372220730</v>
      </c>
      <c r="M24" s="99">
        <f>SUM(M21:M22)</f>
        <v>1920075000</v>
      </c>
    </row>
    <row r="26" spans="1:17" ht="16.5" customHeight="1">
      <c r="K26" s="98" t="s">
        <v>130</v>
      </c>
      <c r="L26" s="99">
        <f>SUM(L19:L20)</f>
        <v>1372220730</v>
      </c>
      <c r="M26" s="100"/>
    </row>
    <row r="27" spans="1:17" ht="16.5" customHeight="1">
      <c r="K27" s="98" t="s">
        <v>159</v>
      </c>
      <c r="L27" s="100"/>
      <c r="M27" s="99">
        <f>M21</f>
        <v>1920000000</v>
      </c>
    </row>
    <row r="28" spans="1:17" ht="16.5" customHeight="1">
      <c r="K28" s="98" t="s">
        <v>124</v>
      </c>
      <c r="L28" s="100"/>
      <c r="M28" s="99">
        <f>M22</f>
        <v>75000</v>
      </c>
    </row>
    <row r="29" spans="1:17" ht="16.5" customHeight="1">
      <c r="K29" s="98" t="s">
        <v>136</v>
      </c>
      <c r="L29" s="99">
        <f>SUM(L26)</f>
        <v>1372220730</v>
      </c>
      <c r="M29" s="99">
        <f>SUM(M27:M28)</f>
        <v>1920075000</v>
      </c>
    </row>
  </sheetData>
  <mergeCells count="2">
    <mergeCell ref="E2:F4"/>
    <mergeCell ref="I2:M4"/>
  </mergeCells>
  <pageMargins left="0.27777777777777779" right="0.27777777777777779" top="0.27777777777777779" bottom="0.27777777777777779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rightToLeft="1" workbookViewId="0">
      <selection activeCell="L6" sqref="L6"/>
    </sheetView>
  </sheetViews>
  <sheetFormatPr defaultColWidth="9.625" defaultRowHeight="22.5" customHeight="1"/>
  <cols>
    <col min="1" max="3" width="9.625" style="102" customWidth="1"/>
    <col min="4" max="4" width="25.5" style="102" bestFit="1" customWidth="1"/>
    <col min="5" max="11" width="9.625" style="102" customWidth="1"/>
    <col min="12" max="12" width="9.625" style="109" customWidth="1"/>
    <col min="13" max="256" width="9.625" style="102"/>
    <col min="257" max="259" width="9.625" style="102" customWidth="1"/>
    <col min="260" max="260" width="25.5" style="102" bestFit="1" customWidth="1"/>
    <col min="261" max="268" width="9.625" style="102" customWidth="1"/>
    <col min="269" max="512" width="9.625" style="102"/>
    <col min="513" max="515" width="9.625" style="102" customWidth="1"/>
    <col min="516" max="516" width="25.5" style="102" bestFit="1" customWidth="1"/>
    <col min="517" max="524" width="9.625" style="102" customWidth="1"/>
    <col min="525" max="768" width="9.625" style="102"/>
    <col min="769" max="771" width="9.625" style="102" customWidth="1"/>
    <col min="772" max="772" width="25.5" style="102" bestFit="1" customWidth="1"/>
    <col min="773" max="780" width="9.625" style="102" customWidth="1"/>
    <col min="781" max="1024" width="9.625" style="102"/>
    <col min="1025" max="1027" width="9.625" style="102" customWidth="1"/>
    <col min="1028" max="1028" width="25.5" style="102" bestFit="1" customWidth="1"/>
    <col min="1029" max="1036" width="9.625" style="102" customWidth="1"/>
    <col min="1037" max="1280" width="9.625" style="102"/>
    <col min="1281" max="1283" width="9.625" style="102" customWidth="1"/>
    <col min="1284" max="1284" width="25.5" style="102" bestFit="1" customWidth="1"/>
    <col min="1285" max="1292" width="9.625" style="102" customWidth="1"/>
    <col min="1293" max="1536" width="9.625" style="102"/>
    <col min="1537" max="1539" width="9.625" style="102" customWidth="1"/>
    <col min="1540" max="1540" width="25.5" style="102" bestFit="1" customWidth="1"/>
    <col min="1541" max="1548" width="9.625" style="102" customWidth="1"/>
    <col min="1549" max="1792" width="9.625" style="102"/>
    <col min="1793" max="1795" width="9.625" style="102" customWidth="1"/>
    <col min="1796" max="1796" width="25.5" style="102" bestFit="1" customWidth="1"/>
    <col min="1797" max="1804" width="9.625" style="102" customWidth="1"/>
    <col min="1805" max="2048" width="9.625" style="102"/>
    <col min="2049" max="2051" width="9.625" style="102" customWidth="1"/>
    <col min="2052" max="2052" width="25.5" style="102" bestFit="1" customWidth="1"/>
    <col min="2053" max="2060" width="9.625" style="102" customWidth="1"/>
    <col min="2061" max="2304" width="9.625" style="102"/>
    <col min="2305" max="2307" width="9.625" style="102" customWidth="1"/>
    <col min="2308" max="2308" width="25.5" style="102" bestFit="1" customWidth="1"/>
    <col min="2309" max="2316" width="9.625" style="102" customWidth="1"/>
    <col min="2317" max="2560" width="9.625" style="102"/>
    <col min="2561" max="2563" width="9.625" style="102" customWidth="1"/>
    <col min="2564" max="2564" width="25.5" style="102" bestFit="1" customWidth="1"/>
    <col min="2565" max="2572" width="9.625" style="102" customWidth="1"/>
    <col min="2573" max="2816" width="9.625" style="102"/>
    <col min="2817" max="2819" width="9.625" style="102" customWidth="1"/>
    <col min="2820" max="2820" width="25.5" style="102" bestFit="1" customWidth="1"/>
    <col min="2821" max="2828" width="9.625" style="102" customWidth="1"/>
    <col min="2829" max="3072" width="9.625" style="102"/>
    <col min="3073" max="3075" width="9.625" style="102" customWidth="1"/>
    <col min="3076" max="3076" width="25.5" style="102" bestFit="1" customWidth="1"/>
    <col min="3077" max="3084" width="9.625" style="102" customWidth="1"/>
    <col min="3085" max="3328" width="9.625" style="102"/>
    <col min="3329" max="3331" width="9.625" style="102" customWidth="1"/>
    <col min="3332" max="3332" width="25.5" style="102" bestFit="1" customWidth="1"/>
    <col min="3333" max="3340" width="9.625" style="102" customWidth="1"/>
    <col min="3341" max="3584" width="9.625" style="102"/>
    <col min="3585" max="3587" width="9.625" style="102" customWidth="1"/>
    <col min="3588" max="3588" width="25.5" style="102" bestFit="1" customWidth="1"/>
    <col min="3589" max="3596" width="9.625" style="102" customWidth="1"/>
    <col min="3597" max="3840" width="9.625" style="102"/>
    <col min="3841" max="3843" width="9.625" style="102" customWidth="1"/>
    <col min="3844" max="3844" width="25.5" style="102" bestFit="1" customWidth="1"/>
    <col min="3845" max="3852" width="9.625" style="102" customWidth="1"/>
    <col min="3853" max="4096" width="9.625" style="102"/>
    <col min="4097" max="4099" width="9.625" style="102" customWidth="1"/>
    <col min="4100" max="4100" width="25.5" style="102" bestFit="1" customWidth="1"/>
    <col min="4101" max="4108" width="9.625" style="102" customWidth="1"/>
    <col min="4109" max="4352" width="9.625" style="102"/>
    <col min="4353" max="4355" width="9.625" style="102" customWidth="1"/>
    <col min="4356" max="4356" width="25.5" style="102" bestFit="1" customWidth="1"/>
    <col min="4357" max="4364" width="9.625" style="102" customWidth="1"/>
    <col min="4365" max="4608" width="9.625" style="102"/>
    <col min="4609" max="4611" width="9.625" style="102" customWidth="1"/>
    <col min="4612" max="4612" width="25.5" style="102" bestFit="1" customWidth="1"/>
    <col min="4613" max="4620" width="9.625" style="102" customWidth="1"/>
    <col min="4621" max="4864" width="9.625" style="102"/>
    <col min="4865" max="4867" width="9.625" style="102" customWidth="1"/>
    <col min="4868" max="4868" width="25.5" style="102" bestFit="1" customWidth="1"/>
    <col min="4869" max="4876" width="9.625" style="102" customWidth="1"/>
    <col min="4877" max="5120" width="9.625" style="102"/>
    <col min="5121" max="5123" width="9.625" style="102" customWidth="1"/>
    <col min="5124" max="5124" width="25.5" style="102" bestFit="1" customWidth="1"/>
    <col min="5125" max="5132" width="9.625" style="102" customWidth="1"/>
    <col min="5133" max="5376" width="9.625" style="102"/>
    <col min="5377" max="5379" width="9.625" style="102" customWidth="1"/>
    <col min="5380" max="5380" width="25.5" style="102" bestFit="1" customWidth="1"/>
    <col min="5381" max="5388" width="9.625" style="102" customWidth="1"/>
    <col min="5389" max="5632" width="9.625" style="102"/>
    <col min="5633" max="5635" width="9.625" style="102" customWidth="1"/>
    <col min="5636" max="5636" width="25.5" style="102" bestFit="1" customWidth="1"/>
    <col min="5637" max="5644" width="9.625" style="102" customWidth="1"/>
    <col min="5645" max="5888" width="9.625" style="102"/>
    <col min="5889" max="5891" width="9.625" style="102" customWidth="1"/>
    <col min="5892" max="5892" width="25.5" style="102" bestFit="1" customWidth="1"/>
    <col min="5893" max="5900" width="9.625" style="102" customWidth="1"/>
    <col min="5901" max="6144" width="9.625" style="102"/>
    <col min="6145" max="6147" width="9.625" style="102" customWidth="1"/>
    <col min="6148" max="6148" width="25.5" style="102" bestFit="1" customWidth="1"/>
    <col min="6149" max="6156" width="9.625" style="102" customWidth="1"/>
    <col min="6157" max="6400" width="9.625" style="102"/>
    <col min="6401" max="6403" width="9.625" style="102" customWidth="1"/>
    <col min="6404" max="6404" width="25.5" style="102" bestFit="1" customWidth="1"/>
    <col min="6405" max="6412" width="9.625" style="102" customWidth="1"/>
    <col min="6413" max="6656" width="9.625" style="102"/>
    <col min="6657" max="6659" width="9.625" style="102" customWidth="1"/>
    <col min="6660" max="6660" width="25.5" style="102" bestFit="1" customWidth="1"/>
    <col min="6661" max="6668" width="9.625" style="102" customWidth="1"/>
    <col min="6669" max="6912" width="9.625" style="102"/>
    <col min="6913" max="6915" width="9.625" style="102" customWidth="1"/>
    <col min="6916" max="6916" width="25.5" style="102" bestFit="1" customWidth="1"/>
    <col min="6917" max="6924" width="9.625" style="102" customWidth="1"/>
    <col min="6925" max="7168" width="9.625" style="102"/>
    <col min="7169" max="7171" width="9.625" style="102" customWidth="1"/>
    <col min="7172" max="7172" width="25.5" style="102" bestFit="1" customWidth="1"/>
    <col min="7173" max="7180" width="9.625" style="102" customWidth="1"/>
    <col min="7181" max="7424" width="9.625" style="102"/>
    <col min="7425" max="7427" width="9.625" style="102" customWidth="1"/>
    <col min="7428" max="7428" width="25.5" style="102" bestFit="1" customWidth="1"/>
    <col min="7429" max="7436" width="9.625" style="102" customWidth="1"/>
    <col min="7437" max="7680" width="9.625" style="102"/>
    <col min="7681" max="7683" width="9.625" style="102" customWidth="1"/>
    <col min="7684" max="7684" width="25.5" style="102" bestFit="1" customWidth="1"/>
    <col min="7685" max="7692" width="9.625" style="102" customWidth="1"/>
    <col min="7693" max="7936" width="9.625" style="102"/>
    <col min="7937" max="7939" width="9.625" style="102" customWidth="1"/>
    <col min="7940" max="7940" width="25.5" style="102" bestFit="1" customWidth="1"/>
    <col min="7941" max="7948" width="9.625" style="102" customWidth="1"/>
    <col min="7949" max="8192" width="9.625" style="102"/>
    <col min="8193" max="8195" width="9.625" style="102" customWidth="1"/>
    <col min="8196" max="8196" width="25.5" style="102" bestFit="1" customWidth="1"/>
    <col min="8197" max="8204" width="9.625" style="102" customWidth="1"/>
    <col min="8205" max="8448" width="9.625" style="102"/>
    <col min="8449" max="8451" width="9.625" style="102" customWidth="1"/>
    <col min="8452" max="8452" width="25.5" style="102" bestFit="1" customWidth="1"/>
    <col min="8453" max="8460" width="9.625" style="102" customWidth="1"/>
    <col min="8461" max="8704" width="9.625" style="102"/>
    <col min="8705" max="8707" width="9.625" style="102" customWidth="1"/>
    <col min="8708" max="8708" width="25.5" style="102" bestFit="1" customWidth="1"/>
    <col min="8709" max="8716" width="9.625" style="102" customWidth="1"/>
    <col min="8717" max="8960" width="9.625" style="102"/>
    <col min="8961" max="8963" width="9.625" style="102" customWidth="1"/>
    <col min="8964" max="8964" width="25.5" style="102" bestFit="1" customWidth="1"/>
    <col min="8965" max="8972" width="9.625" style="102" customWidth="1"/>
    <col min="8973" max="9216" width="9.625" style="102"/>
    <col min="9217" max="9219" width="9.625" style="102" customWidth="1"/>
    <col min="9220" max="9220" width="25.5" style="102" bestFit="1" customWidth="1"/>
    <col min="9221" max="9228" width="9.625" style="102" customWidth="1"/>
    <col min="9229" max="9472" width="9.625" style="102"/>
    <col min="9473" max="9475" width="9.625" style="102" customWidth="1"/>
    <col min="9476" max="9476" width="25.5" style="102" bestFit="1" customWidth="1"/>
    <col min="9477" max="9484" width="9.625" style="102" customWidth="1"/>
    <col min="9485" max="9728" width="9.625" style="102"/>
    <col min="9729" max="9731" width="9.625" style="102" customWidth="1"/>
    <col min="9732" max="9732" width="25.5" style="102" bestFit="1" customWidth="1"/>
    <col min="9733" max="9740" width="9.625" style="102" customWidth="1"/>
    <col min="9741" max="9984" width="9.625" style="102"/>
    <col min="9985" max="9987" width="9.625" style="102" customWidth="1"/>
    <col min="9988" max="9988" width="25.5" style="102" bestFit="1" customWidth="1"/>
    <col min="9989" max="9996" width="9.625" style="102" customWidth="1"/>
    <col min="9997" max="10240" width="9.625" style="102"/>
    <col min="10241" max="10243" width="9.625" style="102" customWidth="1"/>
    <col min="10244" max="10244" width="25.5" style="102" bestFit="1" customWidth="1"/>
    <col min="10245" max="10252" width="9.625" style="102" customWidth="1"/>
    <col min="10253" max="10496" width="9.625" style="102"/>
    <col min="10497" max="10499" width="9.625" style="102" customWidth="1"/>
    <col min="10500" max="10500" width="25.5" style="102" bestFit="1" customWidth="1"/>
    <col min="10501" max="10508" width="9.625" style="102" customWidth="1"/>
    <col min="10509" max="10752" width="9.625" style="102"/>
    <col min="10753" max="10755" width="9.625" style="102" customWidth="1"/>
    <col min="10756" max="10756" width="25.5" style="102" bestFit="1" customWidth="1"/>
    <col min="10757" max="10764" width="9.625" style="102" customWidth="1"/>
    <col min="10765" max="11008" width="9.625" style="102"/>
    <col min="11009" max="11011" width="9.625" style="102" customWidth="1"/>
    <col min="11012" max="11012" width="25.5" style="102" bestFit="1" customWidth="1"/>
    <col min="11013" max="11020" width="9.625" style="102" customWidth="1"/>
    <col min="11021" max="11264" width="9.625" style="102"/>
    <col min="11265" max="11267" width="9.625" style="102" customWidth="1"/>
    <col min="11268" max="11268" width="25.5" style="102" bestFit="1" customWidth="1"/>
    <col min="11269" max="11276" width="9.625" style="102" customWidth="1"/>
    <col min="11277" max="11520" width="9.625" style="102"/>
    <col min="11521" max="11523" width="9.625" style="102" customWidth="1"/>
    <col min="11524" max="11524" width="25.5" style="102" bestFit="1" customWidth="1"/>
    <col min="11525" max="11532" width="9.625" style="102" customWidth="1"/>
    <col min="11533" max="11776" width="9.625" style="102"/>
    <col min="11777" max="11779" width="9.625" style="102" customWidth="1"/>
    <col min="11780" max="11780" width="25.5" style="102" bestFit="1" customWidth="1"/>
    <col min="11781" max="11788" width="9.625" style="102" customWidth="1"/>
    <col min="11789" max="12032" width="9.625" style="102"/>
    <col min="12033" max="12035" width="9.625" style="102" customWidth="1"/>
    <col min="12036" max="12036" width="25.5" style="102" bestFit="1" customWidth="1"/>
    <col min="12037" max="12044" width="9.625" style="102" customWidth="1"/>
    <col min="12045" max="12288" width="9.625" style="102"/>
    <col min="12289" max="12291" width="9.625" style="102" customWidth="1"/>
    <col min="12292" max="12292" width="25.5" style="102" bestFit="1" customWidth="1"/>
    <col min="12293" max="12300" width="9.625" style="102" customWidth="1"/>
    <col min="12301" max="12544" width="9.625" style="102"/>
    <col min="12545" max="12547" width="9.625" style="102" customWidth="1"/>
    <col min="12548" max="12548" width="25.5" style="102" bestFit="1" customWidth="1"/>
    <col min="12549" max="12556" width="9.625" style="102" customWidth="1"/>
    <col min="12557" max="12800" width="9.625" style="102"/>
    <col min="12801" max="12803" width="9.625" style="102" customWidth="1"/>
    <col min="12804" max="12804" width="25.5" style="102" bestFit="1" customWidth="1"/>
    <col min="12805" max="12812" width="9.625" style="102" customWidth="1"/>
    <col min="12813" max="13056" width="9.625" style="102"/>
    <col min="13057" max="13059" width="9.625" style="102" customWidth="1"/>
    <col min="13060" max="13060" width="25.5" style="102" bestFit="1" customWidth="1"/>
    <col min="13061" max="13068" width="9.625" style="102" customWidth="1"/>
    <col min="13069" max="13312" width="9.625" style="102"/>
    <col min="13313" max="13315" width="9.625" style="102" customWidth="1"/>
    <col min="13316" max="13316" width="25.5" style="102" bestFit="1" customWidth="1"/>
    <col min="13317" max="13324" width="9.625" style="102" customWidth="1"/>
    <col min="13325" max="13568" width="9.625" style="102"/>
    <col min="13569" max="13571" width="9.625" style="102" customWidth="1"/>
    <col min="13572" max="13572" width="25.5" style="102" bestFit="1" customWidth="1"/>
    <col min="13573" max="13580" width="9.625" style="102" customWidth="1"/>
    <col min="13581" max="13824" width="9.625" style="102"/>
    <col min="13825" max="13827" width="9.625" style="102" customWidth="1"/>
    <col min="13828" max="13828" width="25.5" style="102" bestFit="1" customWidth="1"/>
    <col min="13829" max="13836" width="9.625" style="102" customWidth="1"/>
    <col min="13837" max="14080" width="9.625" style="102"/>
    <col min="14081" max="14083" width="9.625" style="102" customWidth="1"/>
    <col min="14084" max="14084" width="25.5" style="102" bestFit="1" customWidth="1"/>
    <col min="14085" max="14092" width="9.625" style="102" customWidth="1"/>
    <col min="14093" max="14336" width="9.625" style="102"/>
    <col min="14337" max="14339" width="9.625" style="102" customWidth="1"/>
    <col min="14340" max="14340" width="25.5" style="102" bestFit="1" customWidth="1"/>
    <col min="14341" max="14348" width="9.625" style="102" customWidth="1"/>
    <col min="14349" max="14592" width="9.625" style="102"/>
    <col min="14593" max="14595" width="9.625" style="102" customWidth="1"/>
    <col min="14596" max="14596" width="25.5" style="102" bestFit="1" customWidth="1"/>
    <col min="14597" max="14604" width="9.625" style="102" customWidth="1"/>
    <col min="14605" max="14848" width="9.625" style="102"/>
    <col min="14849" max="14851" width="9.625" style="102" customWidth="1"/>
    <col min="14852" max="14852" width="25.5" style="102" bestFit="1" customWidth="1"/>
    <col min="14853" max="14860" width="9.625" style="102" customWidth="1"/>
    <col min="14861" max="15104" width="9.625" style="102"/>
    <col min="15105" max="15107" width="9.625" style="102" customWidth="1"/>
    <col min="15108" max="15108" width="25.5" style="102" bestFit="1" customWidth="1"/>
    <col min="15109" max="15116" width="9.625" style="102" customWidth="1"/>
    <col min="15117" max="15360" width="9.625" style="102"/>
    <col min="15361" max="15363" width="9.625" style="102" customWidth="1"/>
    <col min="15364" max="15364" width="25.5" style="102" bestFit="1" customWidth="1"/>
    <col min="15365" max="15372" width="9.625" style="102" customWidth="1"/>
    <col min="15373" max="15616" width="9.625" style="102"/>
    <col min="15617" max="15619" width="9.625" style="102" customWidth="1"/>
    <col min="15620" max="15620" width="25.5" style="102" bestFit="1" customWidth="1"/>
    <col min="15621" max="15628" width="9.625" style="102" customWidth="1"/>
    <col min="15629" max="15872" width="9.625" style="102"/>
    <col min="15873" max="15875" width="9.625" style="102" customWidth="1"/>
    <col min="15876" max="15876" width="25.5" style="102" bestFit="1" customWidth="1"/>
    <col min="15877" max="15884" width="9.625" style="102" customWidth="1"/>
    <col min="15885" max="16128" width="9.625" style="102"/>
    <col min="16129" max="16131" width="9.625" style="102" customWidth="1"/>
    <col min="16132" max="16132" width="25.5" style="102" bestFit="1" customWidth="1"/>
    <col min="16133" max="16140" width="9.625" style="102" customWidth="1"/>
    <col min="16141" max="16384" width="9.625" style="102"/>
  </cols>
  <sheetData>
    <row r="1" spans="1:16" ht="109.5" customHeight="1">
      <c r="A1" s="101"/>
      <c r="B1" s="160" t="s">
        <v>160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01"/>
    </row>
    <row r="2" spans="1:16" ht="22.5" customHeight="1">
      <c r="A2" s="101"/>
      <c r="B2" s="103" t="s">
        <v>161</v>
      </c>
      <c r="C2" s="103" t="s">
        <v>162</v>
      </c>
      <c r="D2" s="103" t="s">
        <v>163</v>
      </c>
      <c r="E2" s="103" t="s">
        <v>164</v>
      </c>
      <c r="F2" s="161" t="s">
        <v>165</v>
      </c>
      <c r="G2" s="161"/>
      <c r="H2" s="103" t="s">
        <v>166</v>
      </c>
      <c r="I2" s="103" t="s">
        <v>108</v>
      </c>
      <c r="J2" s="103" t="s">
        <v>114</v>
      </c>
      <c r="K2" s="103" t="s">
        <v>113</v>
      </c>
      <c r="L2" s="104" t="s">
        <v>112</v>
      </c>
      <c r="M2" s="103" t="s">
        <v>116</v>
      </c>
      <c r="N2" s="103" t="s">
        <v>117</v>
      </c>
      <c r="O2" s="103" t="s">
        <v>2</v>
      </c>
      <c r="P2" s="101"/>
    </row>
    <row r="3" spans="1:16" ht="22.5" customHeight="1">
      <c r="A3" s="101"/>
      <c r="B3" s="103" t="s">
        <v>87</v>
      </c>
      <c r="C3" s="103" t="s">
        <v>167</v>
      </c>
      <c r="D3" s="103" t="s">
        <v>168</v>
      </c>
      <c r="E3" s="103" t="s">
        <v>87</v>
      </c>
      <c r="F3" s="161" t="s">
        <v>87</v>
      </c>
      <c r="G3" s="161"/>
      <c r="H3" s="103" t="s">
        <v>169</v>
      </c>
      <c r="I3" s="103" t="s">
        <v>170</v>
      </c>
      <c r="J3" s="105">
        <v>0</v>
      </c>
      <c r="K3" s="105">
        <v>200200000</v>
      </c>
      <c r="L3" s="106" t="s">
        <v>130</v>
      </c>
      <c r="M3" s="103" t="s">
        <v>171</v>
      </c>
      <c r="N3" s="103" t="s">
        <v>172</v>
      </c>
      <c r="O3" s="103" t="s">
        <v>173</v>
      </c>
      <c r="P3" s="101"/>
    </row>
    <row r="5" spans="1:16" ht="22.5" customHeight="1">
      <c r="K5" s="107">
        <v>200200000</v>
      </c>
      <c r="L5" s="108" t="s">
        <v>130</v>
      </c>
    </row>
  </sheetData>
  <mergeCells count="3">
    <mergeCell ref="B1:O1"/>
    <mergeCell ref="F2:G2"/>
    <mergeCell ref="F3:G3"/>
  </mergeCells>
  <pageMargins left="0.75" right="0.75" top="1" bottom="1" header="0.5" footer="0.5"/>
  <pageSetup orientation="portrait" horizontalDpi="300" verticalDpi="3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rightToLeft="1" workbookViewId="0">
      <selection activeCell="H11" sqref="H11"/>
    </sheetView>
  </sheetViews>
  <sheetFormatPr defaultRowHeight="12.75"/>
  <cols>
    <col min="1" max="1" width="9" style="110" customWidth="1"/>
    <col min="2" max="2" width="11.25" style="110" customWidth="1"/>
    <col min="3" max="3" width="9" style="110" customWidth="1"/>
    <col min="4" max="4" width="9.375" style="110" customWidth="1"/>
    <col min="5" max="5" width="9" style="110" customWidth="1"/>
    <col min="6" max="6" width="18.875" style="110" customWidth="1"/>
    <col min="7" max="9" width="9" style="110" customWidth="1"/>
    <col min="10" max="10" width="9.75" style="110" customWidth="1"/>
    <col min="11" max="11" width="23.375" style="110" customWidth="1"/>
    <col min="12" max="13" width="9" style="110" customWidth="1"/>
    <col min="14" max="16384" width="9" style="110"/>
  </cols>
  <sheetData>
    <row r="1" spans="1:12" ht="21" customHeight="1">
      <c r="A1" s="162"/>
      <c r="B1" s="165" t="s">
        <v>174</v>
      </c>
      <c r="C1" s="166"/>
      <c r="D1" s="166"/>
      <c r="E1" s="166"/>
      <c r="F1" s="166"/>
      <c r="G1" s="166"/>
      <c r="H1" s="166"/>
      <c r="I1" s="166"/>
      <c r="J1" s="166"/>
      <c r="K1" s="166"/>
      <c r="L1" s="166"/>
    </row>
    <row r="2" spans="1:12">
      <c r="A2" s="163"/>
      <c r="B2" s="167" t="s">
        <v>175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</row>
    <row r="3" spans="1:12">
      <c r="A3" s="163"/>
      <c r="B3" s="167" t="s">
        <v>176</v>
      </c>
      <c r="C3" s="166"/>
      <c r="D3" s="166"/>
      <c r="E3" s="166"/>
      <c r="F3" s="166"/>
      <c r="G3" s="166"/>
      <c r="H3" s="166"/>
      <c r="I3" s="166"/>
      <c r="J3" s="166"/>
      <c r="K3" s="166"/>
      <c r="L3" s="166"/>
    </row>
    <row r="4" spans="1:12">
      <c r="A4" s="163"/>
      <c r="B4" s="168" t="s">
        <v>177</v>
      </c>
      <c r="C4" s="166"/>
      <c r="D4" s="166"/>
      <c r="E4" s="166"/>
      <c r="F4" s="166"/>
      <c r="G4" s="166"/>
      <c r="H4" s="166"/>
      <c r="I4" s="166"/>
      <c r="J4" s="166"/>
      <c r="K4" s="166"/>
      <c r="L4" s="166"/>
    </row>
    <row r="5" spans="1:12">
      <c r="A5" s="163"/>
      <c r="B5" s="167" t="s">
        <v>178</v>
      </c>
      <c r="C5" s="166"/>
      <c r="D5" s="166"/>
      <c r="E5" s="166"/>
      <c r="F5" s="166"/>
      <c r="G5" s="166"/>
      <c r="H5" s="166"/>
      <c r="I5" s="166"/>
      <c r="J5" s="166"/>
      <c r="K5" s="166"/>
      <c r="L5" s="166"/>
    </row>
    <row r="6" spans="1:12">
      <c r="A6" s="163"/>
      <c r="B6" s="167" t="s">
        <v>179</v>
      </c>
      <c r="C6" s="166"/>
      <c r="D6" s="166"/>
      <c r="E6" s="166"/>
      <c r="F6" s="166"/>
      <c r="G6" s="166"/>
      <c r="H6" s="166"/>
      <c r="I6" s="166"/>
      <c r="J6" s="166"/>
      <c r="K6" s="166"/>
      <c r="L6" s="166"/>
    </row>
    <row r="7" spans="1:12">
      <c r="A7" s="164"/>
      <c r="B7" s="169" t="s">
        <v>180</v>
      </c>
      <c r="C7" s="166"/>
      <c r="D7" s="166"/>
      <c r="E7" s="166"/>
      <c r="F7" s="166"/>
      <c r="G7" s="166"/>
      <c r="H7" s="166"/>
      <c r="I7" s="166"/>
      <c r="J7" s="166"/>
      <c r="K7" s="166"/>
      <c r="L7" s="166"/>
    </row>
    <row r="8" spans="1:12" ht="21" customHeight="1">
      <c r="A8" s="111" t="s">
        <v>2</v>
      </c>
      <c r="B8" s="111" t="s">
        <v>181</v>
      </c>
      <c r="C8" s="112" t="s">
        <v>182</v>
      </c>
      <c r="D8" s="112" t="s">
        <v>183</v>
      </c>
      <c r="E8" s="112" t="s">
        <v>184</v>
      </c>
      <c r="F8" s="112" t="s">
        <v>185</v>
      </c>
      <c r="G8" s="112" t="s">
        <v>186</v>
      </c>
      <c r="H8" s="112" t="s">
        <v>187</v>
      </c>
      <c r="I8" s="112" t="s">
        <v>112</v>
      </c>
      <c r="J8" s="112" t="s">
        <v>188</v>
      </c>
      <c r="K8" s="112" t="s">
        <v>189</v>
      </c>
      <c r="L8" s="112" t="s">
        <v>164</v>
      </c>
    </row>
    <row r="9" spans="1:12" ht="26.25" customHeight="1">
      <c r="A9" s="113" t="s">
        <v>173</v>
      </c>
      <c r="B9" s="114" t="s">
        <v>32</v>
      </c>
      <c r="C9" s="113" t="s">
        <v>190</v>
      </c>
      <c r="D9" s="113" t="s">
        <v>191</v>
      </c>
      <c r="E9" s="113" t="s">
        <v>192</v>
      </c>
      <c r="F9" s="113" t="s">
        <v>193</v>
      </c>
      <c r="G9" s="115">
        <v>0</v>
      </c>
      <c r="H9" s="115">
        <v>4100000</v>
      </c>
      <c r="I9" s="115" t="s">
        <v>130</v>
      </c>
      <c r="J9" s="115">
        <v>142952910</v>
      </c>
      <c r="K9" s="113" t="s">
        <v>194</v>
      </c>
      <c r="L9" s="113" t="s">
        <v>195</v>
      </c>
    </row>
    <row r="10" spans="1:12">
      <c r="B10" s="116"/>
    </row>
    <row r="11" spans="1:12" ht="24" customHeight="1">
      <c r="B11" s="116"/>
      <c r="H11" s="117">
        <v>4100000</v>
      </c>
      <c r="I11" s="117" t="s">
        <v>130</v>
      </c>
    </row>
    <row r="12" spans="1:12">
      <c r="B12" s="116"/>
    </row>
  </sheetData>
  <mergeCells count="8">
    <mergeCell ref="A1:A7"/>
    <mergeCell ref="B1:L1"/>
    <mergeCell ref="B2:L2"/>
    <mergeCell ref="B3:L3"/>
    <mergeCell ref="B4:L4"/>
    <mergeCell ref="B5:L5"/>
    <mergeCell ref="B6:L6"/>
    <mergeCell ref="B7:L7"/>
  </mergeCells>
  <pageMargins left="0.7" right="0.7" top="0.75" bottom="0.75" header="0.3" footer="0.3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rightToLeft="1" workbookViewId="0">
      <selection activeCell="B2" sqref="B2:B7"/>
    </sheetView>
  </sheetViews>
  <sheetFormatPr defaultColWidth="11.375" defaultRowHeight="15"/>
  <cols>
    <col min="1" max="1" width="11.875" style="119" bestFit="1" customWidth="1"/>
    <col min="2" max="3" width="11.375" style="119"/>
    <col min="4" max="4" width="11.875" style="119" bestFit="1" customWidth="1"/>
    <col min="5" max="5" width="30.75" style="119" bestFit="1" customWidth="1"/>
    <col min="6" max="12" width="11.375" style="119"/>
    <col min="13" max="13" width="4.75" style="119" customWidth="1"/>
    <col min="14" max="16384" width="11.375" style="119"/>
  </cols>
  <sheetData>
    <row r="1" spans="1:13">
      <c r="A1" s="118" t="s">
        <v>188</v>
      </c>
      <c r="B1" s="118" t="s">
        <v>113</v>
      </c>
      <c r="C1" s="118" t="s">
        <v>114</v>
      </c>
      <c r="D1" s="118" t="s">
        <v>112</v>
      </c>
      <c r="E1" s="118" t="s">
        <v>185</v>
      </c>
      <c r="F1" s="118" t="s">
        <v>196</v>
      </c>
      <c r="G1" s="118" t="s">
        <v>197</v>
      </c>
      <c r="H1" s="118" t="s">
        <v>164</v>
      </c>
      <c r="I1" s="118" t="s">
        <v>198</v>
      </c>
      <c r="J1" s="118" t="s">
        <v>166</v>
      </c>
      <c r="K1" s="118" t="s">
        <v>116</v>
      </c>
      <c r="L1" s="118" t="s">
        <v>117</v>
      </c>
      <c r="M1" s="118" t="s">
        <v>199</v>
      </c>
    </row>
    <row r="2" spans="1:13">
      <c r="A2" s="120">
        <v>251140890</v>
      </c>
      <c r="B2" s="120">
        <v>6400000</v>
      </c>
      <c r="C2" s="119">
        <v>0</v>
      </c>
      <c r="D2" s="119" t="s">
        <v>130</v>
      </c>
      <c r="E2" s="119" t="s">
        <v>200</v>
      </c>
      <c r="F2" s="119" t="s">
        <v>201</v>
      </c>
      <c r="G2" s="119">
        <v>793101947</v>
      </c>
      <c r="H2" s="119">
        <v>0</v>
      </c>
      <c r="I2" s="119">
        <v>448101</v>
      </c>
      <c r="J2" s="119" t="s">
        <v>202</v>
      </c>
      <c r="K2" s="121">
        <v>0.24135416666666668</v>
      </c>
      <c r="L2" s="119" t="s">
        <v>32</v>
      </c>
      <c r="M2" s="119">
        <v>9</v>
      </c>
    </row>
    <row r="3" spans="1:13">
      <c r="A3" s="120">
        <v>301140890</v>
      </c>
      <c r="B3" s="120">
        <v>50000000</v>
      </c>
      <c r="C3" s="119">
        <v>0</v>
      </c>
      <c r="D3" s="119" t="s">
        <v>130</v>
      </c>
      <c r="E3" s="119" t="s">
        <v>203</v>
      </c>
      <c r="F3" s="119" t="s">
        <v>201</v>
      </c>
      <c r="G3" s="119">
        <v>818157639</v>
      </c>
      <c r="H3" s="119">
        <v>0</v>
      </c>
      <c r="I3" s="119">
        <v>448101</v>
      </c>
      <c r="J3" s="119" t="s">
        <v>202</v>
      </c>
      <c r="K3" s="121">
        <v>0.24180555555555558</v>
      </c>
      <c r="L3" s="119" t="s">
        <v>32</v>
      </c>
      <c r="M3" s="119">
        <v>10</v>
      </c>
    </row>
    <row r="4" spans="1:13">
      <c r="A4" s="120">
        <v>307640890</v>
      </c>
      <c r="B4" s="120">
        <v>6500000</v>
      </c>
      <c r="C4" s="119">
        <v>0</v>
      </c>
      <c r="D4" s="119" t="s">
        <v>130</v>
      </c>
      <c r="E4" s="119" t="s">
        <v>204</v>
      </c>
      <c r="F4" s="119" t="s">
        <v>201</v>
      </c>
      <c r="G4" s="119">
        <v>781175739</v>
      </c>
      <c r="H4" s="119">
        <v>0</v>
      </c>
      <c r="I4" s="119">
        <v>448101</v>
      </c>
      <c r="J4" s="119" t="s">
        <v>202</v>
      </c>
      <c r="K4" s="121">
        <v>0.24195601851851853</v>
      </c>
      <c r="L4" s="119" t="s">
        <v>32</v>
      </c>
      <c r="M4" s="119">
        <v>11</v>
      </c>
    </row>
    <row r="5" spans="1:13">
      <c r="A5" s="120">
        <v>331640890</v>
      </c>
      <c r="B5" s="120">
        <v>24000000</v>
      </c>
      <c r="C5" s="119">
        <v>0</v>
      </c>
      <c r="D5" s="119" t="s">
        <v>130</v>
      </c>
      <c r="E5" s="119" t="s">
        <v>205</v>
      </c>
      <c r="F5" s="119" t="s">
        <v>201</v>
      </c>
      <c r="G5" s="119">
        <v>815284419</v>
      </c>
      <c r="H5" s="119">
        <v>0</v>
      </c>
      <c r="I5" s="119">
        <v>448101</v>
      </c>
      <c r="J5" s="119" t="s">
        <v>202</v>
      </c>
      <c r="K5" s="121">
        <v>0.24289351851851851</v>
      </c>
      <c r="L5" s="119" t="s">
        <v>32</v>
      </c>
      <c r="M5" s="119">
        <v>12</v>
      </c>
    </row>
    <row r="6" spans="1:13">
      <c r="A6" s="120">
        <v>620640890</v>
      </c>
      <c r="B6" s="120">
        <v>289000000</v>
      </c>
      <c r="C6" s="119">
        <v>0</v>
      </c>
      <c r="D6" s="119" t="s">
        <v>130</v>
      </c>
      <c r="E6" s="119" t="s">
        <v>206</v>
      </c>
      <c r="F6" s="119" t="s">
        <v>201</v>
      </c>
      <c r="G6" s="119">
        <v>799370472</v>
      </c>
      <c r="H6" s="119">
        <v>0</v>
      </c>
      <c r="I6" s="119">
        <v>448101</v>
      </c>
      <c r="J6" s="119" t="s">
        <v>202</v>
      </c>
      <c r="K6" s="121">
        <v>0.24359953703703704</v>
      </c>
      <c r="L6" s="119" t="s">
        <v>32</v>
      </c>
      <c r="M6" s="119">
        <v>13</v>
      </c>
    </row>
    <row r="7" spans="1:13">
      <c r="A7" s="120">
        <v>660240890</v>
      </c>
      <c r="B7" s="120">
        <v>39600000</v>
      </c>
      <c r="C7" s="119">
        <v>0</v>
      </c>
      <c r="D7" s="119" t="s">
        <v>130</v>
      </c>
      <c r="E7" s="119" t="s">
        <v>207</v>
      </c>
      <c r="F7" s="119" t="s">
        <v>201</v>
      </c>
      <c r="G7" s="119">
        <v>818619378</v>
      </c>
      <c r="H7" s="119">
        <v>0</v>
      </c>
      <c r="I7" s="119">
        <v>448101</v>
      </c>
      <c r="J7" s="119" t="s">
        <v>202</v>
      </c>
      <c r="K7" s="121">
        <v>0.24550925925925926</v>
      </c>
      <c r="L7" s="119" t="s">
        <v>32</v>
      </c>
      <c r="M7" s="119">
        <v>14</v>
      </c>
    </row>
    <row r="8" spans="1:13">
      <c r="A8" s="120">
        <v>660157790</v>
      </c>
      <c r="B8" s="119">
        <v>0</v>
      </c>
      <c r="C8" s="120">
        <v>83100</v>
      </c>
      <c r="D8" s="120" t="s">
        <v>124</v>
      </c>
      <c r="E8" s="119" t="s">
        <v>208</v>
      </c>
      <c r="G8" s="119">
        <v>180797763</v>
      </c>
      <c r="H8" s="119">
        <v>0</v>
      </c>
      <c r="I8" s="119">
        <v>1503</v>
      </c>
      <c r="J8" s="119" t="s">
        <v>209</v>
      </c>
      <c r="K8" s="121">
        <v>0.48038194444444443</v>
      </c>
      <c r="L8" s="119" t="s">
        <v>32</v>
      </c>
      <c r="M8" s="119">
        <v>15</v>
      </c>
    </row>
    <row r="9" spans="1:13">
      <c r="A9" s="120">
        <v>523293300</v>
      </c>
      <c r="B9" s="119">
        <v>0</v>
      </c>
      <c r="C9" s="120">
        <v>136864490</v>
      </c>
      <c r="D9" s="120" t="s">
        <v>210</v>
      </c>
      <c r="E9" s="119" t="s">
        <v>211</v>
      </c>
      <c r="F9" s="119" t="s">
        <v>212</v>
      </c>
      <c r="G9" s="119">
        <v>210423998</v>
      </c>
      <c r="H9" s="119">
        <v>0</v>
      </c>
      <c r="I9" s="119">
        <v>2402</v>
      </c>
      <c r="J9" s="119" t="s">
        <v>213</v>
      </c>
      <c r="K9" s="121">
        <v>0.87805555555555559</v>
      </c>
      <c r="L9" s="119" t="s">
        <v>32</v>
      </c>
      <c r="M9" s="119">
        <v>16</v>
      </c>
    </row>
    <row r="11" spans="1:13">
      <c r="A11" s="122" t="s">
        <v>136</v>
      </c>
      <c r="B11" s="123">
        <f>SUM(B2:B10)</f>
        <v>415500000</v>
      </c>
      <c r="C11" s="123">
        <f>SUM(C8:C9)</f>
        <v>136947590</v>
      </c>
    </row>
    <row r="13" spans="1:13">
      <c r="A13" s="122" t="s">
        <v>130</v>
      </c>
      <c r="B13" s="123">
        <f>SUM(B2:B7)</f>
        <v>415500000</v>
      </c>
      <c r="C13" s="122"/>
    </row>
    <row r="14" spans="1:13">
      <c r="A14" s="123" t="s">
        <v>124</v>
      </c>
      <c r="B14" s="122"/>
      <c r="C14" s="123">
        <f>C8</f>
        <v>83100</v>
      </c>
    </row>
    <row r="15" spans="1:13">
      <c r="A15" s="123" t="s">
        <v>210</v>
      </c>
      <c r="B15" s="122"/>
      <c r="C15" s="123">
        <f>C9</f>
        <v>136864490</v>
      </c>
    </row>
    <row r="16" spans="1:13">
      <c r="A16" s="122" t="s">
        <v>136</v>
      </c>
      <c r="B16" s="123">
        <f>SUM(B13)</f>
        <v>415500000</v>
      </c>
      <c r="C16" s="123">
        <f>SUM(C14:C15)</f>
        <v>136947590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"/>
  <sheetViews>
    <sheetView rightToLeft="1" zoomScaleNormal="100" workbookViewId="0">
      <selection activeCell="F12" sqref="F12"/>
    </sheetView>
  </sheetViews>
  <sheetFormatPr defaultColWidth="7.625" defaultRowHeight="21" customHeight="1"/>
  <cols>
    <col min="1" max="1" width="7.625" style="124"/>
    <col min="2" max="2" width="12.25" style="124" customWidth="1"/>
    <col min="3" max="3" width="12.125" style="124" customWidth="1"/>
    <col min="4" max="4" width="16.5" style="124" customWidth="1"/>
    <col min="5" max="5" width="14.125" style="124" customWidth="1"/>
    <col min="6" max="7" width="20.125" style="124" customWidth="1"/>
    <col min="8" max="8" width="17" style="124" customWidth="1"/>
    <col min="9" max="9" width="36.375" style="124" customWidth="1"/>
    <col min="10" max="10" width="26.125" style="124" customWidth="1"/>
    <col min="11" max="11" width="31" style="124" customWidth="1"/>
    <col min="12" max="12" width="15.75" style="124" customWidth="1"/>
    <col min="13" max="13" width="17.625" style="124" customWidth="1"/>
    <col min="14" max="14" width="20.75" style="124" customWidth="1"/>
    <col min="15" max="15" width="23.875" style="124" customWidth="1"/>
    <col min="16" max="257" width="7.625" style="124"/>
    <col min="258" max="258" width="12.25" style="124" customWidth="1"/>
    <col min="259" max="259" width="12.125" style="124" customWidth="1"/>
    <col min="260" max="260" width="16.5" style="124" customWidth="1"/>
    <col min="261" max="261" width="14.125" style="124" customWidth="1"/>
    <col min="262" max="263" width="20.125" style="124" customWidth="1"/>
    <col min="264" max="264" width="17" style="124" customWidth="1"/>
    <col min="265" max="265" width="36.375" style="124" customWidth="1"/>
    <col min="266" max="266" width="26.125" style="124" customWidth="1"/>
    <col min="267" max="267" width="31" style="124" customWidth="1"/>
    <col min="268" max="268" width="15.75" style="124" customWidth="1"/>
    <col min="269" max="269" width="17.625" style="124" customWidth="1"/>
    <col min="270" max="270" width="20.75" style="124" customWidth="1"/>
    <col min="271" max="271" width="23.875" style="124" customWidth="1"/>
    <col min="272" max="513" width="7.625" style="124"/>
    <col min="514" max="514" width="12.25" style="124" customWidth="1"/>
    <col min="515" max="515" width="12.125" style="124" customWidth="1"/>
    <col min="516" max="516" width="16.5" style="124" customWidth="1"/>
    <col min="517" max="517" width="14.125" style="124" customWidth="1"/>
    <col min="518" max="519" width="20.125" style="124" customWidth="1"/>
    <col min="520" max="520" width="17" style="124" customWidth="1"/>
    <col min="521" max="521" width="36.375" style="124" customWidth="1"/>
    <col min="522" max="522" width="26.125" style="124" customWidth="1"/>
    <col min="523" max="523" width="31" style="124" customWidth="1"/>
    <col min="524" max="524" width="15.75" style="124" customWidth="1"/>
    <col min="525" max="525" width="17.625" style="124" customWidth="1"/>
    <col min="526" max="526" width="20.75" style="124" customWidth="1"/>
    <col min="527" max="527" width="23.875" style="124" customWidth="1"/>
    <col min="528" max="769" width="7.625" style="124"/>
    <col min="770" max="770" width="12.25" style="124" customWidth="1"/>
    <col min="771" max="771" width="12.125" style="124" customWidth="1"/>
    <col min="772" max="772" width="16.5" style="124" customWidth="1"/>
    <col min="773" max="773" width="14.125" style="124" customWidth="1"/>
    <col min="774" max="775" width="20.125" style="124" customWidth="1"/>
    <col min="776" max="776" width="17" style="124" customWidth="1"/>
    <col min="777" max="777" width="36.375" style="124" customWidth="1"/>
    <col min="778" max="778" width="26.125" style="124" customWidth="1"/>
    <col min="779" max="779" width="31" style="124" customWidth="1"/>
    <col min="780" max="780" width="15.75" style="124" customWidth="1"/>
    <col min="781" max="781" width="17.625" style="124" customWidth="1"/>
    <col min="782" max="782" width="20.75" style="124" customWidth="1"/>
    <col min="783" max="783" width="23.875" style="124" customWidth="1"/>
    <col min="784" max="1025" width="7.625" style="124"/>
    <col min="1026" max="1026" width="12.25" style="124" customWidth="1"/>
    <col min="1027" max="1027" width="12.125" style="124" customWidth="1"/>
    <col min="1028" max="1028" width="16.5" style="124" customWidth="1"/>
    <col min="1029" max="1029" width="14.125" style="124" customWidth="1"/>
    <col min="1030" max="1031" width="20.125" style="124" customWidth="1"/>
    <col min="1032" max="1032" width="17" style="124" customWidth="1"/>
    <col min="1033" max="1033" width="36.375" style="124" customWidth="1"/>
    <col min="1034" max="1034" width="26.125" style="124" customWidth="1"/>
    <col min="1035" max="1035" width="31" style="124" customWidth="1"/>
    <col min="1036" max="1036" width="15.75" style="124" customWidth="1"/>
    <col min="1037" max="1037" width="17.625" style="124" customWidth="1"/>
    <col min="1038" max="1038" width="20.75" style="124" customWidth="1"/>
    <col min="1039" max="1039" width="23.875" style="124" customWidth="1"/>
    <col min="1040" max="1281" width="7.625" style="124"/>
    <col min="1282" max="1282" width="12.25" style="124" customWidth="1"/>
    <col min="1283" max="1283" width="12.125" style="124" customWidth="1"/>
    <col min="1284" max="1284" width="16.5" style="124" customWidth="1"/>
    <col min="1285" max="1285" width="14.125" style="124" customWidth="1"/>
    <col min="1286" max="1287" width="20.125" style="124" customWidth="1"/>
    <col min="1288" max="1288" width="17" style="124" customWidth="1"/>
    <col min="1289" max="1289" width="36.375" style="124" customWidth="1"/>
    <col min="1290" max="1290" width="26.125" style="124" customWidth="1"/>
    <col min="1291" max="1291" width="31" style="124" customWidth="1"/>
    <col min="1292" max="1292" width="15.75" style="124" customWidth="1"/>
    <col min="1293" max="1293" width="17.625" style="124" customWidth="1"/>
    <col min="1294" max="1294" width="20.75" style="124" customWidth="1"/>
    <col min="1295" max="1295" width="23.875" style="124" customWidth="1"/>
    <col min="1296" max="1537" width="7.625" style="124"/>
    <col min="1538" max="1538" width="12.25" style="124" customWidth="1"/>
    <col min="1539" max="1539" width="12.125" style="124" customWidth="1"/>
    <col min="1540" max="1540" width="16.5" style="124" customWidth="1"/>
    <col min="1541" max="1541" width="14.125" style="124" customWidth="1"/>
    <col min="1542" max="1543" width="20.125" style="124" customWidth="1"/>
    <col min="1544" max="1544" width="17" style="124" customWidth="1"/>
    <col min="1545" max="1545" width="36.375" style="124" customWidth="1"/>
    <col min="1546" max="1546" width="26.125" style="124" customWidth="1"/>
    <col min="1547" max="1547" width="31" style="124" customWidth="1"/>
    <col min="1548" max="1548" width="15.75" style="124" customWidth="1"/>
    <col min="1549" max="1549" width="17.625" style="124" customWidth="1"/>
    <col min="1550" max="1550" width="20.75" style="124" customWidth="1"/>
    <col min="1551" max="1551" width="23.875" style="124" customWidth="1"/>
    <col min="1552" max="1793" width="7.625" style="124"/>
    <col min="1794" max="1794" width="12.25" style="124" customWidth="1"/>
    <col min="1795" max="1795" width="12.125" style="124" customWidth="1"/>
    <col min="1796" max="1796" width="16.5" style="124" customWidth="1"/>
    <col min="1797" max="1797" width="14.125" style="124" customWidth="1"/>
    <col min="1798" max="1799" width="20.125" style="124" customWidth="1"/>
    <col min="1800" max="1800" width="17" style="124" customWidth="1"/>
    <col min="1801" max="1801" width="36.375" style="124" customWidth="1"/>
    <col min="1802" max="1802" width="26.125" style="124" customWidth="1"/>
    <col min="1803" max="1803" width="31" style="124" customWidth="1"/>
    <col min="1804" max="1804" width="15.75" style="124" customWidth="1"/>
    <col min="1805" max="1805" width="17.625" style="124" customWidth="1"/>
    <col min="1806" max="1806" width="20.75" style="124" customWidth="1"/>
    <col min="1807" max="1807" width="23.875" style="124" customWidth="1"/>
    <col min="1808" max="2049" width="7.625" style="124"/>
    <col min="2050" max="2050" width="12.25" style="124" customWidth="1"/>
    <col min="2051" max="2051" width="12.125" style="124" customWidth="1"/>
    <col min="2052" max="2052" width="16.5" style="124" customWidth="1"/>
    <col min="2053" max="2053" width="14.125" style="124" customWidth="1"/>
    <col min="2054" max="2055" width="20.125" style="124" customWidth="1"/>
    <col min="2056" max="2056" width="17" style="124" customWidth="1"/>
    <col min="2057" max="2057" width="36.375" style="124" customWidth="1"/>
    <col min="2058" max="2058" width="26.125" style="124" customWidth="1"/>
    <col min="2059" max="2059" width="31" style="124" customWidth="1"/>
    <col min="2060" max="2060" width="15.75" style="124" customWidth="1"/>
    <col min="2061" max="2061" width="17.625" style="124" customWidth="1"/>
    <col min="2062" max="2062" width="20.75" style="124" customWidth="1"/>
    <col min="2063" max="2063" width="23.875" style="124" customWidth="1"/>
    <col min="2064" max="2305" width="7.625" style="124"/>
    <col min="2306" max="2306" width="12.25" style="124" customWidth="1"/>
    <col min="2307" max="2307" width="12.125" style="124" customWidth="1"/>
    <col min="2308" max="2308" width="16.5" style="124" customWidth="1"/>
    <col min="2309" max="2309" width="14.125" style="124" customWidth="1"/>
    <col min="2310" max="2311" width="20.125" style="124" customWidth="1"/>
    <col min="2312" max="2312" width="17" style="124" customWidth="1"/>
    <col min="2313" max="2313" width="36.375" style="124" customWidth="1"/>
    <col min="2314" max="2314" width="26.125" style="124" customWidth="1"/>
    <col min="2315" max="2315" width="31" style="124" customWidth="1"/>
    <col min="2316" max="2316" width="15.75" style="124" customWidth="1"/>
    <col min="2317" max="2317" width="17.625" style="124" customWidth="1"/>
    <col min="2318" max="2318" width="20.75" style="124" customWidth="1"/>
    <col min="2319" max="2319" width="23.875" style="124" customWidth="1"/>
    <col min="2320" max="2561" width="7.625" style="124"/>
    <col min="2562" max="2562" width="12.25" style="124" customWidth="1"/>
    <col min="2563" max="2563" width="12.125" style="124" customWidth="1"/>
    <col min="2564" max="2564" width="16.5" style="124" customWidth="1"/>
    <col min="2565" max="2565" width="14.125" style="124" customWidth="1"/>
    <col min="2566" max="2567" width="20.125" style="124" customWidth="1"/>
    <col min="2568" max="2568" width="17" style="124" customWidth="1"/>
    <col min="2569" max="2569" width="36.375" style="124" customWidth="1"/>
    <col min="2570" max="2570" width="26.125" style="124" customWidth="1"/>
    <col min="2571" max="2571" width="31" style="124" customWidth="1"/>
    <col min="2572" max="2572" width="15.75" style="124" customWidth="1"/>
    <col min="2573" max="2573" width="17.625" style="124" customWidth="1"/>
    <col min="2574" max="2574" width="20.75" style="124" customWidth="1"/>
    <col min="2575" max="2575" width="23.875" style="124" customWidth="1"/>
    <col min="2576" max="2817" width="7.625" style="124"/>
    <col min="2818" max="2818" width="12.25" style="124" customWidth="1"/>
    <col min="2819" max="2819" width="12.125" style="124" customWidth="1"/>
    <col min="2820" max="2820" width="16.5" style="124" customWidth="1"/>
    <col min="2821" max="2821" width="14.125" style="124" customWidth="1"/>
    <col min="2822" max="2823" width="20.125" style="124" customWidth="1"/>
    <col min="2824" max="2824" width="17" style="124" customWidth="1"/>
    <col min="2825" max="2825" width="36.375" style="124" customWidth="1"/>
    <col min="2826" max="2826" width="26.125" style="124" customWidth="1"/>
    <col min="2827" max="2827" width="31" style="124" customWidth="1"/>
    <col min="2828" max="2828" width="15.75" style="124" customWidth="1"/>
    <col min="2829" max="2829" width="17.625" style="124" customWidth="1"/>
    <col min="2830" max="2830" width="20.75" style="124" customWidth="1"/>
    <col min="2831" max="2831" width="23.875" style="124" customWidth="1"/>
    <col min="2832" max="3073" width="7.625" style="124"/>
    <col min="3074" max="3074" width="12.25" style="124" customWidth="1"/>
    <col min="3075" max="3075" width="12.125" style="124" customWidth="1"/>
    <col min="3076" max="3076" width="16.5" style="124" customWidth="1"/>
    <col min="3077" max="3077" width="14.125" style="124" customWidth="1"/>
    <col min="3078" max="3079" width="20.125" style="124" customWidth="1"/>
    <col min="3080" max="3080" width="17" style="124" customWidth="1"/>
    <col min="3081" max="3081" width="36.375" style="124" customWidth="1"/>
    <col min="3082" max="3082" width="26.125" style="124" customWidth="1"/>
    <col min="3083" max="3083" width="31" style="124" customWidth="1"/>
    <col min="3084" max="3084" width="15.75" style="124" customWidth="1"/>
    <col min="3085" max="3085" width="17.625" style="124" customWidth="1"/>
    <col min="3086" max="3086" width="20.75" style="124" customWidth="1"/>
    <col min="3087" max="3087" width="23.875" style="124" customWidth="1"/>
    <col min="3088" max="3329" width="7.625" style="124"/>
    <col min="3330" max="3330" width="12.25" style="124" customWidth="1"/>
    <col min="3331" max="3331" width="12.125" style="124" customWidth="1"/>
    <col min="3332" max="3332" width="16.5" style="124" customWidth="1"/>
    <col min="3333" max="3333" width="14.125" style="124" customWidth="1"/>
    <col min="3334" max="3335" width="20.125" style="124" customWidth="1"/>
    <col min="3336" max="3336" width="17" style="124" customWidth="1"/>
    <col min="3337" max="3337" width="36.375" style="124" customWidth="1"/>
    <col min="3338" max="3338" width="26.125" style="124" customWidth="1"/>
    <col min="3339" max="3339" width="31" style="124" customWidth="1"/>
    <col min="3340" max="3340" width="15.75" style="124" customWidth="1"/>
    <col min="3341" max="3341" width="17.625" style="124" customWidth="1"/>
    <col min="3342" max="3342" width="20.75" style="124" customWidth="1"/>
    <col min="3343" max="3343" width="23.875" style="124" customWidth="1"/>
    <col min="3344" max="3585" width="7.625" style="124"/>
    <col min="3586" max="3586" width="12.25" style="124" customWidth="1"/>
    <col min="3587" max="3587" width="12.125" style="124" customWidth="1"/>
    <col min="3588" max="3588" width="16.5" style="124" customWidth="1"/>
    <col min="3589" max="3589" width="14.125" style="124" customWidth="1"/>
    <col min="3590" max="3591" width="20.125" style="124" customWidth="1"/>
    <col min="3592" max="3592" width="17" style="124" customWidth="1"/>
    <col min="3593" max="3593" width="36.375" style="124" customWidth="1"/>
    <col min="3594" max="3594" width="26.125" style="124" customWidth="1"/>
    <col min="3595" max="3595" width="31" style="124" customWidth="1"/>
    <col min="3596" max="3596" width="15.75" style="124" customWidth="1"/>
    <col min="3597" max="3597" width="17.625" style="124" customWidth="1"/>
    <col min="3598" max="3598" width="20.75" style="124" customWidth="1"/>
    <col min="3599" max="3599" width="23.875" style="124" customWidth="1"/>
    <col min="3600" max="3841" width="7.625" style="124"/>
    <col min="3842" max="3842" width="12.25" style="124" customWidth="1"/>
    <col min="3843" max="3843" width="12.125" style="124" customWidth="1"/>
    <col min="3844" max="3844" width="16.5" style="124" customWidth="1"/>
    <col min="3845" max="3845" width="14.125" style="124" customWidth="1"/>
    <col min="3846" max="3847" width="20.125" style="124" customWidth="1"/>
    <col min="3848" max="3848" width="17" style="124" customWidth="1"/>
    <col min="3849" max="3849" width="36.375" style="124" customWidth="1"/>
    <col min="3850" max="3850" width="26.125" style="124" customWidth="1"/>
    <col min="3851" max="3851" width="31" style="124" customWidth="1"/>
    <col min="3852" max="3852" width="15.75" style="124" customWidth="1"/>
    <col min="3853" max="3853" width="17.625" style="124" customWidth="1"/>
    <col min="3854" max="3854" width="20.75" style="124" customWidth="1"/>
    <col min="3855" max="3855" width="23.875" style="124" customWidth="1"/>
    <col min="3856" max="4097" width="7.625" style="124"/>
    <col min="4098" max="4098" width="12.25" style="124" customWidth="1"/>
    <col min="4099" max="4099" width="12.125" style="124" customWidth="1"/>
    <col min="4100" max="4100" width="16.5" style="124" customWidth="1"/>
    <col min="4101" max="4101" width="14.125" style="124" customWidth="1"/>
    <col min="4102" max="4103" width="20.125" style="124" customWidth="1"/>
    <col min="4104" max="4104" width="17" style="124" customWidth="1"/>
    <col min="4105" max="4105" width="36.375" style="124" customWidth="1"/>
    <col min="4106" max="4106" width="26.125" style="124" customWidth="1"/>
    <col min="4107" max="4107" width="31" style="124" customWidth="1"/>
    <col min="4108" max="4108" width="15.75" style="124" customWidth="1"/>
    <col min="4109" max="4109" width="17.625" style="124" customWidth="1"/>
    <col min="4110" max="4110" width="20.75" style="124" customWidth="1"/>
    <col min="4111" max="4111" width="23.875" style="124" customWidth="1"/>
    <col min="4112" max="4353" width="7.625" style="124"/>
    <col min="4354" max="4354" width="12.25" style="124" customWidth="1"/>
    <col min="4355" max="4355" width="12.125" style="124" customWidth="1"/>
    <col min="4356" max="4356" width="16.5" style="124" customWidth="1"/>
    <col min="4357" max="4357" width="14.125" style="124" customWidth="1"/>
    <col min="4358" max="4359" width="20.125" style="124" customWidth="1"/>
    <col min="4360" max="4360" width="17" style="124" customWidth="1"/>
    <col min="4361" max="4361" width="36.375" style="124" customWidth="1"/>
    <col min="4362" max="4362" width="26.125" style="124" customWidth="1"/>
    <col min="4363" max="4363" width="31" style="124" customWidth="1"/>
    <col min="4364" max="4364" width="15.75" style="124" customWidth="1"/>
    <col min="4365" max="4365" width="17.625" style="124" customWidth="1"/>
    <col min="4366" max="4366" width="20.75" style="124" customWidth="1"/>
    <col min="4367" max="4367" width="23.875" style="124" customWidth="1"/>
    <col min="4368" max="4609" width="7.625" style="124"/>
    <col min="4610" max="4610" width="12.25" style="124" customWidth="1"/>
    <col min="4611" max="4611" width="12.125" style="124" customWidth="1"/>
    <col min="4612" max="4612" width="16.5" style="124" customWidth="1"/>
    <col min="4613" max="4613" width="14.125" style="124" customWidth="1"/>
    <col min="4614" max="4615" width="20.125" style="124" customWidth="1"/>
    <col min="4616" max="4616" width="17" style="124" customWidth="1"/>
    <col min="4617" max="4617" width="36.375" style="124" customWidth="1"/>
    <col min="4618" max="4618" width="26.125" style="124" customWidth="1"/>
    <col min="4619" max="4619" width="31" style="124" customWidth="1"/>
    <col min="4620" max="4620" width="15.75" style="124" customWidth="1"/>
    <col min="4621" max="4621" width="17.625" style="124" customWidth="1"/>
    <col min="4622" max="4622" width="20.75" style="124" customWidth="1"/>
    <col min="4623" max="4623" width="23.875" style="124" customWidth="1"/>
    <col min="4624" max="4865" width="7.625" style="124"/>
    <col min="4866" max="4866" width="12.25" style="124" customWidth="1"/>
    <col min="4867" max="4867" width="12.125" style="124" customWidth="1"/>
    <col min="4868" max="4868" width="16.5" style="124" customWidth="1"/>
    <col min="4869" max="4869" width="14.125" style="124" customWidth="1"/>
    <col min="4870" max="4871" width="20.125" style="124" customWidth="1"/>
    <col min="4872" max="4872" width="17" style="124" customWidth="1"/>
    <col min="4873" max="4873" width="36.375" style="124" customWidth="1"/>
    <col min="4874" max="4874" width="26.125" style="124" customWidth="1"/>
    <col min="4875" max="4875" width="31" style="124" customWidth="1"/>
    <col min="4876" max="4876" width="15.75" style="124" customWidth="1"/>
    <col min="4877" max="4877" width="17.625" style="124" customWidth="1"/>
    <col min="4878" max="4878" width="20.75" style="124" customWidth="1"/>
    <col min="4879" max="4879" width="23.875" style="124" customWidth="1"/>
    <col min="4880" max="5121" width="7.625" style="124"/>
    <col min="5122" max="5122" width="12.25" style="124" customWidth="1"/>
    <col min="5123" max="5123" width="12.125" style="124" customWidth="1"/>
    <col min="5124" max="5124" width="16.5" style="124" customWidth="1"/>
    <col min="5125" max="5125" width="14.125" style="124" customWidth="1"/>
    <col min="5126" max="5127" width="20.125" style="124" customWidth="1"/>
    <col min="5128" max="5128" width="17" style="124" customWidth="1"/>
    <col min="5129" max="5129" width="36.375" style="124" customWidth="1"/>
    <col min="5130" max="5130" width="26.125" style="124" customWidth="1"/>
    <col min="5131" max="5131" width="31" style="124" customWidth="1"/>
    <col min="5132" max="5132" width="15.75" style="124" customWidth="1"/>
    <col min="5133" max="5133" width="17.625" style="124" customWidth="1"/>
    <col min="5134" max="5134" width="20.75" style="124" customWidth="1"/>
    <col min="5135" max="5135" width="23.875" style="124" customWidth="1"/>
    <col min="5136" max="5377" width="7.625" style="124"/>
    <col min="5378" max="5378" width="12.25" style="124" customWidth="1"/>
    <col min="5379" max="5379" width="12.125" style="124" customWidth="1"/>
    <col min="5380" max="5380" width="16.5" style="124" customWidth="1"/>
    <col min="5381" max="5381" width="14.125" style="124" customWidth="1"/>
    <col min="5382" max="5383" width="20.125" style="124" customWidth="1"/>
    <col min="5384" max="5384" width="17" style="124" customWidth="1"/>
    <col min="5385" max="5385" width="36.375" style="124" customWidth="1"/>
    <col min="5386" max="5386" width="26.125" style="124" customWidth="1"/>
    <col min="5387" max="5387" width="31" style="124" customWidth="1"/>
    <col min="5388" max="5388" width="15.75" style="124" customWidth="1"/>
    <col min="5389" max="5389" width="17.625" style="124" customWidth="1"/>
    <col min="5390" max="5390" width="20.75" style="124" customWidth="1"/>
    <col min="5391" max="5391" width="23.875" style="124" customWidth="1"/>
    <col min="5392" max="5633" width="7.625" style="124"/>
    <col min="5634" max="5634" width="12.25" style="124" customWidth="1"/>
    <col min="5635" max="5635" width="12.125" style="124" customWidth="1"/>
    <col min="5636" max="5636" width="16.5" style="124" customWidth="1"/>
    <col min="5637" max="5637" width="14.125" style="124" customWidth="1"/>
    <col min="5638" max="5639" width="20.125" style="124" customWidth="1"/>
    <col min="5640" max="5640" width="17" style="124" customWidth="1"/>
    <col min="5641" max="5641" width="36.375" style="124" customWidth="1"/>
    <col min="5642" max="5642" width="26.125" style="124" customWidth="1"/>
    <col min="5643" max="5643" width="31" style="124" customWidth="1"/>
    <col min="5644" max="5644" width="15.75" style="124" customWidth="1"/>
    <col min="5645" max="5645" width="17.625" style="124" customWidth="1"/>
    <col min="5646" max="5646" width="20.75" style="124" customWidth="1"/>
    <col min="5647" max="5647" width="23.875" style="124" customWidth="1"/>
    <col min="5648" max="5889" width="7.625" style="124"/>
    <col min="5890" max="5890" width="12.25" style="124" customWidth="1"/>
    <col min="5891" max="5891" width="12.125" style="124" customWidth="1"/>
    <col min="5892" max="5892" width="16.5" style="124" customWidth="1"/>
    <col min="5893" max="5893" width="14.125" style="124" customWidth="1"/>
    <col min="5894" max="5895" width="20.125" style="124" customWidth="1"/>
    <col min="5896" max="5896" width="17" style="124" customWidth="1"/>
    <col min="5897" max="5897" width="36.375" style="124" customWidth="1"/>
    <col min="5898" max="5898" width="26.125" style="124" customWidth="1"/>
    <col min="5899" max="5899" width="31" style="124" customWidth="1"/>
    <col min="5900" max="5900" width="15.75" style="124" customWidth="1"/>
    <col min="5901" max="5901" width="17.625" style="124" customWidth="1"/>
    <col min="5902" max="5902" width="20.75" style="124" customWidth="1"/>
    <col min="5903" max="5903" width="23.875" style="124" customWidth="1"/>
    <col min="5904" max="6145" width="7.625" style="124"/>
    <col min="6146" max="6146" width="12.25" style="124" customWidth="1"/>
    <col min="6147" max="6147" width="12.125" style="124" customWidth="1"/>
    <col min="6148" max="6148" width="16.5" style="124" customWidth="1"/>
    <col min="6149" max="6149" width="14.125" style="124" customWidth="1"/>
    <col min="6150" max="6151" width="20.125" style="124" customWidth="1"/>
    <col min="6152" max="6152" width="17" style="124" customWidth="1"/>
    <col min="6153" max="6153" width="36.375" style="124" customWidth="1"/>
    <col min="6154" max="6154" width="26.125" style="124" customWidth="1"/>
    <col min="6155" max="6155" width="31" style="124" customWidth="1"/>
    <col min="6156" max="6156" width="15.75" style="124" customWidth="1"/>
    <col min="6157" max="6157" width="17.625" style="124" customWidth="1"/>
    <col min="6158" max="6158" width="20.75" style="124" customWidth="1"/>
    <col min="6159" max="6159" width="23.875" style="124" customWidth="1"/>
    <col min="6160" max="6401" width="7.625" style="124"/>
    <col min="6402" max="6402" width="12.25" style="124" customWidth="1"/>
    <col min="6403" max="6403" width="12.125" style="124" customWidth="1"/>
    <col min="6404" max="6404" width="16.5" style="124" customWidth="1"/>
    <col min="6405" max="6405" width="14.125" style="124" customWidth="1"/>
    <col min="6406" max="6407" width="20.125" style="124" customWidth="1"/>
    <col min="6408" max="6408" width="17" style="124" customWidth="1"/>
    <col min="6409" max="6409" width="36.375" style="124" customWidth="1"/>
    <col min="6410" max="6410" width="26.125" style="124" customWidth="1"/>
    <col min="6411" max="6411" width="31" style="124" customWidth="1"/>
    <col min="6412" max="6412" width="15.75" style="124" customWidth="1"/>
    <col min="6413" max="6413" width="17.625" style="124" customWidth="1"/>
    <col min="6414" max="6414" width="20.75" style="124" customWidth="1"/>
    <col min="6415" max="6415" width="23.875" style="124" customWidth="1"/>
    <col min="6416" max="6657" width="7.625" style="124"/>
    <col min="6658" max="6658" width="12.25" style="124" customWidth="1"/>
    <col min="6659" max="6659" width="12.125" style="124" customWidth="1"/>
    <col min="6660" max="6660" width="16.5" style="124" customWidth="1"/>
    <col min="6661" max="6661" width="14.125" style="124" customWidth="1"/>
    <col min="6662" max="6663" width="20.125" style="124" customWidth="1"/>
    <col min="6664" max="6664" width="17" style="124" customWidth="1"/>
    <col min="6665" max="6665" width="36.375" style="124" customWidth="1"/>
    <col min="6666" max="6666" width="26.125" style="124" customWidth="1"/>
    <col min="6667" max="6667" width="31" style="124" customWidth="1"/>
    <col min="6668" max="6668" width="15.75" style="124" customWidth="1"/>
    <col min="6669" max="6669" width="17.625" style="124" customWidth="1"/>
    <col min="6670" max="6670" width="20.75" style="124" customWidth="1"/>
    <col min="6671" max="6671" width="23.875" style="124" customWidth="1"/>
    <col min="6672" max="6913" width="7.625" style="124"/>
    <col min="6914" max="6914" width="12.25" style="124" customWidth="1"/>
    <col min="6915" max="6915" width="12.125" style="124" customWidth="1"/>
    <col min="6916" max="6916" width="16.5" style="124" customWidth="1"/>
    <col min="6917" max="6917" width="14.125" style="124" customWidth="1"/>
    <col min="6918" max="6919" width="20.125" style="124" customWidth="1"/>
    <col min="6920" max="6920" width="17" style="124" customWidth="1"/>
    <col min="6921" max="6921" width="36.375" style="124" customWidth="1"/>
    <col min="6922" max="6922" width="26.125" style="124" customWidth="1"/>
    <col min="6923" max="6923" width="31" style="124" customWidth="1"/>
    <col min="6924" max="6924" width="15.75" style="124" customWidth="1"/>
    <col min="6925" max="6925" width="17.625" style="124" customWidth="1"/>
    <col min="6926" max="6926" width="20.75" style="124" customWidth="1"/>
    <col min="6927" max="6927" width="23.875" style="124" customWidth="1"/>
    <col min="6928" max="7169" width="7.625" style="124"/>
    <col min="7170" max="7170" width="12.25" style="124" customWidth="1"/>
    <col min="7171" max="7171" width="12.125" style="124" customWidth="1"/>
    <col min="7172" max="7172" width="16.5" style="124" customWidth="1"/>
    <col min="7173" max="7173" width="14.125" style="124" customWidth="1"/>
    <col min="7174" max="7175" width="20.125" style="124" customWidth="1"/>
    <col min="7176" max="7176" width="17" style="124" customWidth="1"/>
    <col min="7177" max="7177" width="36.375" style="124" customWidth="1"/>
    <col min="7178" max="7178" width="26.125" style="124" customWidth="1"/>
    <col min="7179" max="7179" width="31" style="124" customWidth="1"/>
    <col min="7180" max="7180" width="15.75" style="124" customWidth="1"/>
    <col min="7181" max="7181" width="17.625" style="124" customWidth="1"/>
    <col min="7182" max="7182" width="20.75" style="124" customWidth="1"/>
    <col min="7183" max="7183" width="23.875" style="124" customWidth="1"/>
    <col min="7184" max="7425" width="7.625" style="124"/>
    <col min="7426" max="7426" width="12.25" style="124" customWidth="1"/>
    <col min="7427" max="7427" width="12.125" style="124" customWidth="1"/>
    <col min="7428" max="7428" width="16.5" style="124" customWidth="1"/>
    <col min="7429" max="7429" width="14.125" style="124" customWidth="1"/>
    <col min="7430" max="7431" width="20.125" style="124" customWidth="1"/>
    <col min="7432" max="7432" width="17" style="124" customWidth="1"/>
    <col min="7433" max="7433" width="36.375" style="124" customWidth="1"/>
    <col min="7434" max="7434" width="26.125" style="124" customWidth="1"/>
    <col min="7435" max="7435" width="31" style="124" customWidth="1"/>
    <col min="7436" max="7436" width="15.75" style="124" customWidth="1"/>
    <col min="7437" max="7437" width="17.625" style="124" customWidth="1"/>
    <col min="7438" max="7438" width="20.75" style="124" customWidth="1"/>
    <col min="7439" max="7439" width="23.875" style="124" customWidth="1"/>
    <col min="7440" max="7681" width="7.625" style="124"/>
    <col min="7682" max="7682" width="12.25" style="124" customWidth="1"/>
    <col min="7683" max="7683" width="12.125" style="124" customWidth="1"/>
    <col min="7684" max="7684" width="16.5" style="124" customWidth="1"/>
    <col min="7685" max="7685" width="14.125" style="124" customWidth="1"/>
    <col min="7686" max="7687" width="20.125" style="124" customWidth="1"/>
    <col min="7688" max="7688" width="17" style="124" customWidth="1"/>
    <col min="7689" max="7689" width="36.375" style="124" customWidth="1"/>
    <col min="7690" max="7690" width="26.125" style="124" customWidth="1"/>
    <col min="7691" max="7691" width="31" style="124" customWidth="1"/>
    <col min="7692" max="7692" width="15.75" style="124" customWidth="1"/>
    <col min="7693" max="7693" width="17.625" style="124" customWidth="1"/>
    <col min="7694" max="7694" width="20.75" style="124" customWidth="1"/>
    <col min="7695" max="7695" width="23.875" style="124" customWidth="1"/>
    <col min="7696" max="7937" width="7.625" style="124"/>
    <col min="7938" max="7938" width="12.25" style="124" customWidth="1"/>
    <col min="7939" max="7939" width="12.125" style="124" customWidth="1"/>
    <col min="7940" max="7940" width="16.5" style="124" customWidth="1"/>
    <col min="7941" max="7941" width="14.125" style="124" customWidth="1"/>
    <col min="7942" max="7943" width="20.125" style="124" customWidth="1"/>
    <col min="7944" max="7944" width="17" style="124" customWidth="1"/>
    <col min="7945" max="7945" width="36.375" style="124" customWidth="1"/>
    <col min="7946" max="7946" width="26.125" style="124" customWidth="1"/>
    <col min="7947" max="7947" width="31" style="124" customWidth="1"/>
    <col min="7948" max="7948" width="15.75" style="124" customWidth="1"/>
    <col min="7949" max="7949" width="17.625" style="124" customWidth="1"/>
    <col min="7950" max="7950" width="20.75" style="124" customWidth="1"/>
    <col min="7951" max="7951" width="23.875" style="124" customWidth="1"/>
    <col min="7952" max="8193" width="7.625" style="124"/>
    <col min="8194" max="8194" width="12.25" style="124" customWidth="1"/>
    <col min="8195" max="8195" width="12.125" style="124" customWidth="1"/>
    <col min="8196" max="8196" width="16.5" style="124" customWidth="1"/>
    <col min="8197" max="8197" width="14.125" style="124" customWidth="1"/>
    <col min="8198" max="8199" width="20.125" style="124" customWidth="1"/>
    <col min="8200" max="8200" width="17" style="124" customWidth="1"/>
    <col min="8201" max="8201" width="36.375" style="124" customWidth="1"/>
    <col min="8202" max="8202" width="26.125" style="124" customWidth="1"/>
    <col min="8203" max="8203" width="31" style="124" customWidth="1"/>
    <col min="8204" max="8204" width="15.75" style="124" customWidth="1"/>
    <col min="8205" max="8205" width="17.625" style="124" customWidth="1"/>
    <col min="8206" max="8206" width="20.75" style="124" customWidth="1"/>
    <col min="8207" max="8207" width="23.875" style="124" customWidth="1"/>
    <col min="8208" max="8449" width="7.625" style="124"/>
    <col min="8450" max="8450" width="12.25" style="124" customWidth="1"/>
    <col min="8451" max="8451" width="12.125" style="124" customWidth="1"/>
    <col min="8452" max="8452" width="16.5" style="124" customWidth="1"/>
    <col min="8453" max="8453" width="14.125" style="124" customWidth="1"/>
    <col min="8454" max="8455" width="20.125" style="124" customWidth="1"/>
    <col min="8456" max="8456" width="17" style="124" customWidth="1"/>
    <col min="8457" max="8457" width="36.375" style="124" customWidth="1"/>
    <col min="8458" max="8458" width="26.125" style="124" customWidth="1"/>
    <col min="8459" max="8459" width="31" style="124" customWidth="1"/>
    <col min="8460" max="8460" width="15.75" style="124" customWidth="1"/>
    <col min="8461" max="8461" width="17.625" style="124" customWidth="1"/>
    <col min="8462" max="8462" width="20.75" style="124" customWidth="1"/>
    <col min="8463" max="8463" width="23.875" style="124" customWidth="1"/>
    <col min="8464" max="8705" width="7.625" style="124"/>
    <col min="8706" max="8706" width="12.25" style="124" customWidth="1"/>
    <col min="8707" max="8707" width="12.125" style="124" customWidth="1"/>
    <col min="8708" max="8708" width="16.5" style="124" customWidth="1"/>
    <col min="8709" max="8709" width="14.125" style="124" customWidth="1"/>
    <col min="8710" max="8711" width="20.125" style="124" customWidth="1"/>
    <col min="8712" max="8712" width="17" style="124" customWidth="1"/>
    <col min="8713" max="8713" width="36.375" style="124" customWidth="1"/>
    <col min="8714" max="8714" width="26.125" style="124" customWidth="1"/>
    <col min="8715" max="8715" width="31" style="124" customWidth="1"/>
    <col min="8716" max="8716" width="15.75" style="124" customWidth="1"/>
    <col min="8717" max="8717" width="17.625" style="124" customWidth="1"/>
    <col min="8718" max="8718" width="20.75" style="124" customWidth="1"/>
    <col min="8719" max="8719" width="23.875" style="124" customWidth="1"/>
    <col min="8720" max="8961" width="7.625" style="124"/>
    <col min="8962" max="8962" width="12.25" style="124" customWidth="1"/>
    <col min="8963" max="8963" width="12.125" style="124" customWidth="1"/>
    <col min="8964" max="8964" width="16.5" style="124" customWidth="1"/>
    <col min="8965" max="8965" width="14.125" style="124" customWidth="1"/>
    <col min="8966" max="8967" width="20.125" style="124" customWidth="1"/>
    <col min="8968" max="8968" width="17" style="124" customWidth="1"/>
    <col min="8969" max="8969" width="36.375" style="124" customWidth="1"/>
    <col min="8970" max="8970" width="26.125" style="124" customWidth="1"/>
    <col min="8971" max="8971" width="31" style="124" customWidth="1"/>
    <col min="8972" max="8972" width="15.75" style="124" customWidth="1"/>
    <col min="8973" max="8973" width="17.625" style="124" customWidth="1"/>
    <col min="8974" max="8974" width="20.75" style="124" customWidth="1"/>
    <col min="8975" max="8975" width="23.875" style="124" customWidth="1"/>
    <col min="8976" max="9217" width="7.625" style="124"/>
    <col min="9218" max="9218" width="12.25" style="124" customWidth="1"/>
    <col min="9219" max="9219" width="12.125" style="124" customWidth="1"/>
    <col min="9220" max="9220" width="16.5" style="124" customWidth="1"/>
    <col min="9221" max="9221" width="14.125" style="124" customWidth="1"/>
    <col min="9222" max="9223" width="20.125" style="124" customWidth="1"/>
    <col min="9224" max="9224" width="17" style="124" customWidth="1"/>
    <col min="9225" max="9225" width="36.375" style="124" customWidth="1"/>
    <col min="9226" max="9226" width="26.125" style="124" customWidth="1"/>
    <col min="9227" max="9227" width="31" style="124" customWidth="1"/>
    <col min="9228" max="9228" width="15.75" style="124" customWidth="1"/>
    <col min="9229" max="9229" width="17.625" style="124" customWidth="1"/>
    <col min="9230" max="9230" width="20.75" style="124" customWidth="1"/>
    <col min="9231" max="9231" width="23.875" style="124" customWidth="1"/>
    <col min="9232" max="9473" width="7.625" style="124"/>
    <col min="9474" max="9474" width="12.25" style="124" customWidth="1"/>
    <col min="9475" max="9475" width="12.125" style="124" customWidth="1"/>
    <col min="9476" max="9476" width="16.5" style="124" customWidth="1"/>
    <col min="9477" max="9477" width="14.125" style="124" customWidth="1"/>
    <col min="9478" max="9479" width="20.125" style="124" customWidth="1"/>
    <col min="9480" max="9480" width="17" style="124" customWidth="1"/>
    <col min="9481" max="9481" width="36.375" style="124" customWidth="1"/>
    <col min="9482" max="9482" width="26.125" style="124" customWidth="1"/>
    <col min="9483" max="9483" width="31" style="124" customWidth="1"/>
    <col min="9484" max="9484" width="15.75" style="124" customWidth="1"/>
    <col min="9485" max="9485" width="17.625" style="124" customWidth="1"/>
    <col min="9486" max="9486" width="20.75" style="124" customWidth="1"/>
    <col min="9487" max="9487" width="23.875" style="124" customWidth="1"/>
    <col min="9488" max="9729" width="7.625" style="124"/>
    <col min="9730" max="9730" width="12.25" style="124" customWidth="1"/>
    <col min="9731" max="9731" width="12.125" style="124" customWidth="1"/>
    <col min="9732" max="9732" width="16.5" style="124" customWidth="1"/>
    <col min="9733" max="9733" width="14.125" style="124" customWidth="1"/>
    <col min="9734" max="9735" width="20.125" style="124" customWidth="1"/>
    <col min="9736" max="9736" width="17" style="124" customWidth="1"/>
    <col min="9737" max="9737" width="36.375" style="124" customWidth="1"/>
    <col min="9738" max="9738" width="26.125" style="124" customWidth="1"/>
    <col min="9739" max="9739" width="31" style="124" customWidth="1"/>
    <col min="9740" max="9740" width="15.75" style="124" customWidth="1"/>
    <col min="9741" max="9741" width="17.625" style="124" customWidth="1"/>
    <col min="9742" max="9742" width="20.75" style="124" customWidth="1"/>
    <col min="9743" max="9743" width="23.875" style="124" customWidth="1"/>
    <col min="9744" max="9985" width="7.625" style="124"/>
    <col min="9986" max="9986" width="12.25" style="124" customWidth="1"/>
    <col min="9987" max="9987" width="12.125" style="124" customWidth="1"/>
    <col min="9988" max="9988" width="16.5" style="124" customWidth="1"/>
    <col min="9989" max="9989" width="14.125" style="124" customWidth="1"/>
    <col min="9990" max="9991" width="20.125" style="124" customWidth="1"/>
    <col min="9992" max="9992" width="17" style="124" customWidth="1"/>
    <col min="9993" max="9993" width="36.375" style="124" customWidth="1"/>
    <col min="9994" max="9994" width="26.125" style="124" customWidth="1"/>
    <col min="9995" max="9995" width="31" style="124" customWidth="1"/>
    <col min="9996" max="9996" width="15.75" style="124" customWidth="1"/>
    <col min="9997" max="9997" width="17.625" style="124" customWidth="1"/>
    <col min="9998" max="9998" width="20.75" style="124" customWidth="1"/>
    <col min="9999" max="9999" width="23.875" style="124" customWidth="1"/>
    <col min="10000" max="10241" width="7.625" style="124"/>
    <col min="10242" max="10242" width="12.25" style="124" customWidth="1"/>
    <col min="10243" max="10243" width="12.125" style="124" customWidth="1"/>
    <col min="10244" max="10244" width="16.5" style="124" customWidth="1"/>
    <col min="10245" max="10245" width="14.125" style="124" customWidth="1"/>
    <col min="10246" max="10247" width="20.125" style="124" customWidth="1"/>
    <col min="10248" max="10248" width="17" style="124" customWidth="1"/>
    <col min="10249" max="10249" width="36.375" style="124" customWidth="1"/>
    <col min="10250" max="10250" width="26.125" style="124" customWidth="1"/>
    <col min="10251" max="10251" width="31" style="124" customWidth="1"/>
    <col min="10252" max="10252" width="15.75" style="124" customWidth="1"/>
    <col min="10253" max="10253" width="17.625" style="124" customWidth="1"/>
    <col min="10254" max="10254" width="20.75" style="124" customWidth="1"/>
    <col min="10255" max="10255" width="23.875" style="124" customWidth="1"/>
    <col min="10256" max="10497" width="7.625" style="124"/>
    <col min="10498" max="10498" width="12.25" style="124" customWidth="1"/>
    <col min="10499" max="10499" width="12.125" style="124" customWidth="1"/>
    <col min="10500" max="10500" width="16.5" style="124" customWidth="1"/>
    <col min="10501" max="10501" width="14.125" style="124" customWidth="1"/>
    <col min="10502" max="10503" width="20.125" style="124" customWidth="1"/>
    <col min="10504" max="10504" width="17" style="124" customWidth="1"/>
    <col min="10505" max="10505" width="36.375" style="124" customWidth="1"/>
    <col min="10506" max="10506" width="26.125" style="124" customWidth="1"/>
    <col min="10507" max="10507" width="31" style="124" customWidth="1"/>
    <col min="10508" max="10508" width="15.75" style="124" customWidth="1"/>
    <col min="10509" max="10509" width="17.625" style="124" customWidth="1"/>
    <col min="10510" max="10510" width="20.75" style="124" customWidth="1"/>
    <col min="10511" max="10511" width="23.875" style="124" customWidth="1"/>
    <col min="10512" max="10753" width="7.625" style="124"/>
    <col min="10754" max="10754" width="12.25" style="124" customWidth="1"/>
    <col min="10755" max="10755" width="12.125" style="124" customWidth="1"/>
    <col min="10756" max="10756" width="16.5" style="124" customWidth="1"/>
    <col min="10757" max="10757" width="14.125" style="124" customWidth="1"/>
    <col min="10758" max="10759" width="20.125" style="124" customWidth="1"/>
    <col min="10760" max="10760" width="17" style="124" customWidth="1"/>
    <col min="10761" max="10761" width="36.375" style="124" customWidth="1"/>
    <col min="10762" max="10762" width="26.125" style="124" customWidth="1"/>
    <col min="10763" max="10763" width="31" style="124" customWidth="1"/>
    <col min="10764" max="10764" width="15.75" style="124" customWidth="1"/>
    <col min="10765" max="10765" width="17.625" style="124" customWidth="1"/>
    <col min="10766" max="10766" width="20.75" style="124" customWidth="1"/>
    <col min="10767" max="10767" width="23.875" style="124" customWidth="1"/>
    <col min="10768" max="11009" width="7.625" style="124"/>
    <col min="11010" max="11010" width="12.25" style="124" customWidth="1"/>
    <col min="11011" max="11011" width="12.125" style="124" customWidth="1"/>
    <col min="11012" max="11012" width="16.5" style="124" customWidth="1"/>
    <col min="11013" max="11013" width="14.125" style="124" customWidth="1"/>
    <col min="11014" max="11015" width="20.125" style="124" customWidth="1"/>
    <col min="11016" max="11016" width="17" style="124" customWidth="1"/>
    <col min="11017" max="11017" width="36.375" style="124" customWidth="1"/>
    <col min="11018" max="11018" width="26.125" style="124" customWidth="1"/>
    <col min="11019" max="11019" width="31" style="124" customWidth="1"/>
    <col min="11020" max="11020" width="15.75" style="124" customWidth="1"/>
    <col min="11021" max="11021" width="17.625" style="124" customWidth="1"/>
    <col min="11022" max="11022" width="20.75" style="124" customWidth="1"/>
    <col min="11023" max="11023" width="23.875" style="124" customWidth="1"/>
    <col min="11024" max="11265" width="7.625" style="124"/>
    <col min="11266" max="11266" width="12.25" style="124" customWidth="1"/>
    <col min="11267" max="11267" width="12.125" style="124" customWidth="1"/>
    <col min="11268" max="11268" width="16.5" style="124" customWidth="1"/>
    <col min="11269" max="11269" width="14.125" style="124" customWidth="1"/>
    <col min="11270" max="11271" width="20.125" style="124" customWidth="1"/>
    <col min="11272" max="11272" width="17" style="124" customWidth="1"/>
    <col min="11273" max="11273" width="36.375" style="124" customWidth="1"/>
    <col min="11274" max="11274" width="26.125" style="124" customWidth="1"/>
    <col min="11275" max="11275" width="31" style="124" customWidth="1"/>
    <col min="11276" max="11276" width="15.75" style="124" customWidth="1"/>
    <col min="11277" max="11277" width="17.625" style="124" customWidth="1"/>
    <col min="11278" max="11278" width="20.75" style="124" customWidth="1"/>
    <col min="11279" max="11279" width="23.875" style="124" customWidth="1"/>
    <col min="11280" max="11521" width="7.625" style="124"/>
    <col min="11522" max="11522" width="12.25" style="124" customWidth="1"/>
    <col min="11523" max="11523" width="12.125" style="124" customWidth="1"/>
    <col min="11524" max="11524" width="16.5" style="124" customWidth="1"/>
    <col min="11525" max="11525" width="14.125" style="124" customWidth="1"/>
    <col min="11526" max="11527" width="20.125" style="124" customWidth="1"/>
    <col min="11528" max="11528" width="17" style="124" customWidth="1"/>
    <col min="11529" max="11529" width="36.375" style="124" customWidth="1"/>
    <col min="11530" max="11530" width="26.125" style="124" customWidth="1"/>
    <col min="11531" max="11531" width="31" style="124" customWidth="1"/>
    <col min="11532" max="11532" width="15.75" style="124" customWidth="1"/>
    <col min="11533" max="11533" width="17.625" style="124" customWidth="1"/>
    <col min="11534" max="11534" width="20.75" style="124" customWidth="1"/>
    <col min="11535" max="11535" width="23.875" style="124" customWidth="1"/>
    <col min="11536" max="11777" width="7.625" style="124"/>
    <col min="11778" max="11778" width="12.25" style="124" customWidth="1"/>
    <col min="11779" max="11779" width="12.125" style="124" customWidth="1"/>
    <col min="11780" max="11780" width="16.5" style="124" customWidth="1"/>
    <col min="11781" max="11781" width="14.125" style="124" customWidth="1"/>
    <col min="11782" max="11783" width="20.125" style="124" customWidth="1"/>
    <col min="11784" max="11784" width="17" style="124" customWidth="1"/>
    <col min="11785" max="11785" width="36.375" style="124" customWidth="1"/>
    <col min="11786" max="11786" width="26.125" style="124" customWidth="1"/>
    <col min="11787" max="11787" width="31" style="124" customWidth="1"/>
    <col min="11788" max="11788" width="15.75" style="124" customWidth="1"/>
    <col min="11789" max="11789" width="17.625" style="124" customWidth="1"/>
    <col min="11790" max="11790" width="20.75" style="124" customWidth="1"/>
    <col min="11791" max="11791" width="23.875" style="124" customWidth="1"/>
    <col min="11792" max="12033" width="7.625" style="124"/>
    <col min="12034" max="12034" width="12.25" style="124" customWidth="1"/>
    <col min="12035" max="12035" width="12.125" style="124" customWidth="1"/>
    <col min="12036" max="12036" width="16.5" style="124" customWidth="1"/>
    <col min="12037" max="12037" width="14.125" style="124" customWidth="1"/>
    <col min="12038" max="12039" width="20.125" style="124" customWidth="1"/>
    <col min="12040" max="12040" width="17" style="124" customWidth="1"/>
    <col min="12041" max="12041" width="36.375" style="124" customWidth="1"/>
    <col min="12042" max="12042" width="26.125" style="124" customWidth="1"/>
    <col min="12043" max="12043" width="31" style="124" customWidth="1"/>
    <col min="12044" max="12044" width="15.75" style="124" customWidth="1"/>
    <col min="12045" max="12045" width="17.625" style="124" customWidth="1"/>
    <col min="12046" max="12046" width="20.75" style="124" customWidth="1"/>
    <col min="12047" max="12047" width="23.875" style="124" customWidth="1"/>
    <col min="12048" max="12289" width="7.625" style="124"/>
    <col min="12290" max="12290" width="12.25" style="124" customWidth="1"/>
    <col min="12291" max="12291" width="12.125" style="124" customWidth="1"/>
    <col min="12292" max="12292" width="16.5" style="124" customWidth="1"/>
    <col min="12293" max="12293" width="14.125" style="124" customWidth="1"/>
    <col min="12294" max="12295" width="20.125" style="124" customWidth="1"/>
    <col min="12296" max="12296" width="17" style="124" customWidth="1"/>
    <col min="12297" max="12297" width="36.375" style="124" customWidth="1"/>
    <col min="12298" max="12298" width="26.125" style="124" customWidth="1"/>
    <col min="12299" max="12299" width="31" style="124" customWidth="1"/>
    <col min="12300" max="12300" width="15.75" style="124" customWidth="1"/>
    <col min="12301" max="12301" width="17.625" style="124" customWidth="1"/>
    <col min="12302" max="12302" width="20.75" style="124" customWidth="1"/>
    <col min="12303" max="12303" width="23.875" style="124" customWidth="1"/>
    <col min="12304" max="12545" width="7.625" style="124"/>
    <col min="12546" max="12546" width="12.25" style="124" customWidth="1"/>
    <col min="12547" max="12547" width="12.125" style="124" customWidth="1"/>
    <col min="12548" max="12548" width="16.5" style="124" customWidth="1"/>
    <col min="12549" max="12549" width="14.125" style="124" customWidth="1"/>
    <col min="12550" max="12551" width="20.125" style="124" customWidth="1"/>
    <col min="12552" max="12552" width="17" style="124" customWidth="1"/>
    <col min="12553" max="12553" width="36.375" style="124" customWidth="1"/>
    <col min="12554" max="12554" width="26.125" style="124" customWidth="1"/>
    <col min="12555" max="12555" width="31" style="124" customWidth="1"/>
    <col min="12556" max="12556" width="15.75" style="124" customWidth="1"/>
    <col min="12557" max="12557" width="17.625" style="124" customWidth="1"/>
    <col min="12558" max="12558" width="20.75" style="124" customWidth="1"/>
    <col min="12559" max="12559" width="23.875" style="124" customWidth="1"/>
    <col min="12560" max="12801" width="7.625" style="124"/>
    <col min="12802" max="12802" width="12.25" style="124" customWidth="1"/>
    <col min="12803" max="12803" width="12.125" style="124" customWidth="1"/>
    <col min="12804" max="12804" width="16.5" style="124" customWidth="1"/>
    <col min="12805" max="12805" width="14.125" style="124" customWidth="1"/>
    <col min="12806" max="12807" width="20.125" style="124" customWidth="1"/>
    <col min="12808" max="12808" width="17" style="124" customWidth="1"/>
    <col min="12809" max="12809" width="36.375" style="124" customWidth="1"/>
    <col min="12810" max="12810" width="26.125" style="124" customWidth="1"/>
    <col min="12811" max="12811" width="31" style="124" customWidth="1"/>
    <col min="12812" max="12812" width="15.75" style="124" customWidth="1"/>
    <col min="12813" max="12813" width="17.625" style="124" customWidth="1"/>
    <col min="12814" max="12814" width="20.75" style="124" customWidth="1"/>
    <col min="12815" max="12815" width="23.875" style="124" customWidth="1"/>
    <col min="12816" max="13057" width="7.625" style="124"/>
    <col min="13058" max="13058" width="12.25" style="124" customWidth="1"/>
    <col min="13059" max="13059" width="12.125" style="124" customWidth="1"/>
    <col min="13060" max="13060" width="16.5" style="124" customWidth="1"/>
    <col min="13061" max="13061" width="14.125" style="124" customWidth="1"/>
    <col min="13062" max="13063" width="20.125" style="124" customWidth="1"/>
    <col min="13064" max="13064" width="17" style="124" customWidth="1"/>
    <col min="13065" max="13065" width="36.375" style="124" customWidth="1"/>
    <col min="13066" max="13066" width="26.125" style="124" customWidth="1"/>
    <col min="13067" max="13067" width="31" style="124" customWidth="1"/>
    <col min="13068" max="13068" width="15.75" style="124" customWidth="1"/>
    <col min="13069" max="13069" width="17.625" style="124" customWidth="1"/>
    <col min="13070" max="13070" width="20.75" style="124" customWidth="1"/>
    <col min="13071" max="13071" width="23.875" style="124" customWidth="1"/>
    <col min="13072" max="13313" width="7.625" style="124"/>
    <col min="13314" max="13314" width="12.25" style="124" customWidth="1"/>
    <col min="13315" max="13315" width="12.125" style="124" customWidth="1"/>
    <col min="13316" max="13316" width="16.5" style="124" customWidth="1"/>
    <col min="13317" max="13317" width="14.125" style="124" customWidth="1"/>
    <col min="13318" max="13319" width="20.125" style="124" customWidth="1"/>
    <col min="13320" max="13320" width="17" style="124" customWidth="1"/>
    <col min="13321" max="13321" width="36.375" style="124" customWidth="1"/>
    <col min="13322" max="13322" width="26.125" style="124" customWidth="1"/>
    <col min="13323" max="13323" width="31" style="124" customWidth="1"/>
    <col min="13324" max="13324" width="15.75" style="124" customWidth="1"/>
    <col min="13325" max="13325" width="17.625" style="124" customWidth="1"/>
    <col min="13326" max="13326" width="20.75" style="124" customWidth="1"/>
    <col min="13327" max="13327" width="23.875" style="124" customWidth="1"/>
    <col min="13328" max="13569" width="7.625" style="124"/>
    <col min="13570" max="13570" width="12.25" style="124" customWidth="1"/>
    <col min="13571" max="13571" width="12.125" style="124" customWidth="1"/>
    <col min="13572" max="13572" width="16.5" style="124" customWidth="1"/>
    <col min="13573" max="13573" width="14.125" style="124" customWidth="1"/>
    <col min="13574" max="13575" width="20.125" style="124" customWidth="1"/>
    <col min="13576" max="13576" width="17" style="124" customWidth="1"/>
    <col min="13577" max="13577" width="36.375" style="124" customWidth="1"/>
    <col min="13578" max="13578" width="26.125" style="124" customWidth="1"/>
    <col min="13579" max="13579" width="31" style="124" customWidth="1"/>
    <col min="13580" max="13580" width="15.75" style="124" customWidth="1"/>
    <col min="13581" max="13581" width="17.625" style="124" customWidth="1"/>
    <col min="13582" max="13582" width="20.75" style="124" customWidth="1"/>
    <col min="13583" max="13583" width="23.875" style="124" customWidth="1"/>
    <col min="13584" max="13825" width="7.625" style="124"/>
    <col min="13826" max="13826" width="12.25" style="124" customWidth="1"/>
    <col min="13827" max="13827" width="12.125" style="124" customWidth="1"/>
    <col min="13828" max="13828" width="16.5" style="124" customWidth="1"/>
    <col min="13829" max="13829" width="14.125" style="124" customWidth="1"/>
    <col min="13830" max="13831" width="20.125" style="124" customWidth="1"/>
    <col min="13832" max="13832" width="17" style="124" customWidth="1"/>
    <col min="13833" max="13833" width="36.375" style="124" customWidth="1"/>
    <col min="13834" max="13834" width="26.125" style="124" customWidth="1"/>
    <col min="13835" max="13835" width="31" style="124" customWidth="1"/>
    <col min="13836" max="13836" width="15.75" style="124" customWidth="1"/>
    <col min="13837" max="13837" width="17.625" style="124" customWidth="1"/>
    <col min="13838" max="13838" width="20.75" style="124" customWidth="1"/>
    <col min="13839" max="13839" width="23.875" style="124" customWidth="1"/>
    <col min="13840" max="14081" width="7.625" style="124"/>
    <col min="14082" max="14082" width="12.25" style="124" customWidth="1"/>
    <col min="14083" max="14083" width="12.125" style="124" customWidth="1"/>
    <col min="14084" max="14084" width="16.5" style="124" customWidth="1"/>
    <col min="14085" max="14085" width="14.125" style="124" customWidth="1"/>
    <col min="14086" max="14087" width="20.125" style="124" customWidth="1"/>
    <col min="14088" max="14088" width="17" style="124" customWidth="1"/>
    <col min="14089" max="14089" width="36.375" style="124" customWidth="1"/>
    <col min="14090" max="14090" width="26.125" style="124" customWidth="1"/>
    <col min="14091" max="14091" width="31" style="124" customWidth="1"/>
    <col min="14092" max="14092" width="15.75" style="124" customWidth="1"/>
    <col min="14093" max="14093" width="17.625" style="124" customWidth="1"/>
    <col min="14094" max="14094" width="20.75" style="124" customWidth="1"/>
    <col min="14095" max="14095" width="23.875" style="124" customWidth="1"/>
    <col min="14096" max="14337" width="7.625" style="124"/>
    <col min="14338" max="14338" width="12.25" style="124" customWidth="1"/>
    <col min="14339" max="14339" width="12.125" style="124" customWidth="1"/>
    <col min="14340" max="14340" width="16.5" style="124" customWidth="1"/>
    <col min="14341" max="14341" width="14.125" style="124" customWidth="1"/>
    <col min="14342" max="14343" width="20.125" style="124" customWidth="1"/>
    <col min="14344" max="14344" width="17" style="124" customWidth="1"/>
    <col min="14345" max="14345" width="36.375" style="124" customWidth="1"/>
    <col min="14346" max="14346" width="26.125" style="124" customWidth="1"/>
    <col min="14347" max="14347" width="31" style="124" customWidth="1"/>
    <col min="14348" max="14348" width="15.75" style="124" customWidth="1"/>
    <col min="14349" max="14349" width="17.625" style="124" customWidth="1"/>
    <col min="14350" max="14350" width="20.75" style="124" customWidth="1"/>
    <col min="14351" max="14351" width="23.875" style="124" customWidth="1"/>
    <col min="14352" max="14593" width="7.625" style="124"/>
    <col min="14594" max="14594" width="12.25" style="124" customWidth="1"/>
    <col min="14595" max="14595" width="12.125" style="124" customWidth="1"/>
    <col min="14596" max="14596" width="16.5" style="124" customWidth="1"/>
    <col min="14597" max="14597" width="14.125" style="124" customWidth="1"/>
    <col min="14598" max="14599" width="20.125" style="124" customWidth="1"/>
    <col min="14600" max="14600" width="17" style="124" customWidth="1"/>
    <col min="14601" max="14601" width="36.375" style="124" customWidth="1"/>
    <col min="14602" max="14602" width="26.125" style="124" customWidth="1"/>
    <col min="14603" max="14603" width="31" style="124" customWidth="1"/>
    <col min="14604" max="14604" width="15.75" style="124" customWidth="1"/>
    <col min="14605" max="14605" width="17.625" style="124" customWidth="1"/>
    <col min="14606" max="14606" width="20.75" style="124" customWidth="1"/>
    <col min="14607" max="14607" width="23.875" style="124" customWidth="1"/>
    <col min="14608" max="14849" width="7.625" style="124"/>
    <col min="14850" max="14850" width="12.25" style="124" customWidth="1"/>
    <col min="14851" max="14851" width="12.125" style="124" customWidth="1"/>
    <col min="14852" max="14852" width="16.5" style="124" customWidth="1"/>
    <col min="14853" max="14853" width="14.125" style="124" customWidth="1"/>
    <col min="14854" max="14855" width="20.125" style="124" customWidth="1"/>
    <col min="14856" max="14856" width="17" style="124" customWidth="1"/>
    <col min="14857" max="14857" width="36.375" style="124" customWidth="1"/>
    <col min="14858" max="14858" width="26.125" style="124" customWidth="1"/>
    <col min="14859" max="14859" width="31" style="124" customWidth="1"/>
    <col min="14860" max="14860" width="15.75" style="124" customWidth="1"/>
    <col min="14861" max="14861" width="17.625" style="124" customWidth="1"/>
    <col min="14862" max="14862" width="20.75" style="124" customWidth="1"/>
    <col min="14863" max="14863" width="23.875" style="124" customWidth="1"/>
    <col min="14864" max="15105" width="7.625" style="124"/>
    <col min="15106" max="15106" width="12.25" style="124" customWidth="1"/>
    <col min="15107" max="15107" width="12.125" style="124" customWidth="1"/>
    <col min="15108" max="15108" width="16.5" style="124" customWidth="1"/>
    <col min="15109" max="15109" width="14.125" style="124" customWidth="1"/>
    <col min="15110" max="15111" width="20.125" style="124" customWidth="1"/>
    <col min="15112" max="15112" width="17" style="124" customWidth="1"/>
    <col min="15113" max="15113" width="36.375" style="124" customWidth="1"/>
    <col min="15114" max="15114" width="26.125" style="124" customWidth="1"/>
    <col min="15115" max="15115" width="31" style="124" customWidth="1"/>
    <col min="15116" max="15116" width="15.75" style="124" customWidth="1"/>
    <col min="15117" max="15117" width="17.625" style="124" customWidth="1"/>
    <col min="15118" max="15118" width="20.75" style="124" customWidth="1"/>
    <col min="15119" max="15119" width="23.875" style="124" customWidth="1"/>
    <col min="15120" max="15361" width="7.625" style="124"/>
    <col min="15362" max="15362" width="12.25" style="124" customWidth="1"/>
    <col min="15363" max="15363" width="12.125" style="124" customWidth="1"/>
    <col min="15364" max="15364" width="16.5" style="124" customWidth="1"/>
    <col min="15365" max="15365" width="14.125" style="124" customWidth="1"/>
    <col min="15366" max="15367" width="20.125" style="124" customWidth="1"/>
    <col min="15368" max="15368" width="17" style="124" customWidth="1"/>
    <col min="15369" max="15369" width="36.375" style="124" customWidth="1"/>
    <col min="15370" max="15370" width="26.125" style="124" customWidth="1"/>
    <col min="15371" max="15371" width="31" style="124" customWidth="1"/>
    <col min="15372" max="15372" width="15.75" style="124" customWidth="1"/>
    <col min="15373" max="15373" width="17.625" style="124" customWidth="1"/>
    <col min="15374" max="15374" width="20.75" style="124" customWidth="1"/>
    <col min="15375" max="15375" width="23.875" style="124" customWidth="1"/>
    <col min="15376" max="15617" width="7.625" style="124"/>
    <col min="15618" max="15618" width="12.25" style="124" customWidth="1"/>
    <col min="15619" max="15619" width="12.125" style="124" customWidth="1"/>
    <col min="15620" max="15620" width="16.5" style="124" customWidth="1"/>
    <col min="15621" max="15621" width="14.125" style="124" customWidth="1"/>
    <col min="15622" max="15623" width="20.125" style="124" customWidth="1"/>
    <col min="15624" max="15624" width="17" style="124" customWidth="1"/>
    <col min="15625" max="15625" width="36.375" style="124" customWidth="1"/>
    <col min="15626" max="15626" width="26.125" style="124" customWidth="1"/>
    <col min="15627" max="15627" width="31" style="124" customWidth="1"/>
    <col min="15628" max="15628" width="15.75" style="124" customWidth="1"/>
    <col min="15629" max="15629" width="17.625" style="124" customWidth="1"/>
    <col min="15630" max="15630" width="20.75" style="124" customWidth="1"/>
    <col min="15631" max="15631" width="23.875" style="124" customWidth="1"/>
    <col min="15632" max="15873" width="7.625" style="124"/>
    <col min="15874" max="15874" width="12.25" style="124" customWidth="1"/>
    <col min="15875" max="15875" width="12.125" style="124" customWidth="1"/>
    <col min="15876" max="15876" width="16.5" style="124" customWidth="1"/>
    <col min="15877" max="15877" width="14.125" style="124" customWidth="1"/>
    <col min="15878" max="15879" width="20.125" style="124" customWidth="1"/>
    <col min="15880" max="15880" width="17" style="124" customWidth="1"/>
    <col min="15881" max="15881" width="36.375" style="124" customWidth="1"/>
    <col min="15882" max="15882" width="26.125" style="124" customWidth="1"/>
    <col min="15883" max="15883" width="31" style="124" customWidth="1"/>
    <col min="15884" max="15884" width="15.75" style="124" customWidth="1"/>
    <col min="15885" max="15885" width="17.625" style="124" customWidth="1"/>
    <col min="15886" max="15886" width="20.75" style="124" customWidth="1"/>
    <col min="15887" max="15887" width="23.875" style="124" customWidth="1"/>
    <col min="15888" max="16129" width="7.625" style="124"/>
    <col min="16130" max="16130" width="12.25" style="124" customWidth="1"/>
    <col min="16131" max="16131" width="12.125" style="124" customWidth="1"/>
    <col min="16132" max="16132" width="16.5" style="124" customWidth="1"/>
    <col min="16133" max="16133" width="14.125" style="124" customWidth="1"/>
    <col min="16134" max="16135" width="20.125" style="124" customWidth="1"/>
    <col min="16136" max="16136" width="17" style="124" customWidth="1"/>
    <col min="16137" max="16137" width="36.375" style="124" customWidth="1"/>
    <col min="16138" max="16138" width="26.125" style="124" customWidth="1"/>
    <col min="16139" max="16139" width="31" style="124" customWidth="1"/>
    <col min="16140" max="16140" width="15.75" style="124" customWidth="1"/>
    <col min="16141" max="16141" width="17.625" style="124" customWidth="1"/>
    <col min="16142" max="16142" width="20.75" style="124" customWidth="1"/>
    <col min="16143" max="16143" width="23.875" style="124" customWidth="1"/>
    <col min="16144" max="16384" width="7.625" style="124"/>
  </cols>
  <sheetData>
    <row r="1" spans="1:19" ht="21" customHeight="1">
      <c r="O1" s="125"/>
      <c r="P1" s="170"/>
      <c r="Q1" s="170"/>
      <c r="R1" s="170"/>
      <c r="S1" s="171"/>
    </row>
    <row r="2" spans="1:19" ht="21" customHeight="1">
      <c r="A2" s="172"/>
      <c r="B2" s="172"/>
      <c r="C2" s="172"/>
      <c r="D2" s="172"/>
      <c r="E2" s="172"/>
      <c r="F2" s="172"/>
      <c r="G2" s="172"/>
      <c r="H2" s="173"/>
      <c r="I2" s="173"/>
      <c r="J2" s="173"/>
      <c r="K2" s="173"/>
      <c r="L2" s="172"/>
      <c r="M2" s="172"/>
      <c r="N2" s="172"/>
      <c r="O2" s="174"/>
      <c r="P2" s="170"/>
      <c r="Q2" s="170"/>
      <c r="R2" s="170"/>
      <c r="S2" s="171"/>
    </row>
    <row r="3" spans="1:19" ht="21" customHeight="1">
      <c r="A3" s="175"/>
      <c r="B3" s="175"/>
      <c r="C3" s="175"/>
      <c r="D3" s="175"/>
      <c r="E3" s="175"/>
      <c r="F3" s="175"/>
      <c r="G3" s="126"/>
      <c r="H3" s="127" t="s">
        <v>214</v>
      </c>
      <c r="I3" s="127" t="s">
        <v>215</v>
      </c>
      <c r="J3" s="127" t="s">
        <v>216</v>
      </c>
      <c r="K3" s="127" t="s">
        <v>217</v>
      </c>
      <c r="L3" s="175"/>
      <c r="M3" s="175"/>
      <c r="N3" s="175"/>
      <c r="O3" s="175"/>
      <c r="P3" s="170"/>
      <c r="Q3" s="170"/>
      <c r="R3" s="170"/>
      <c r="S3" s="171"/>
    </row>
    <row r="4" spans="1:19" ht="21" customHeight="1">
      <c r="A4" s="175"/>
      <c r="B4" s="175"/>
      <c r="C4" s="175"/>
      <c r="D4" s="175"/>
      <c r="E4" s="175"/>
      <c r="F4" s="175"/>
      <c r="G4" s="126"/>
      <c r="H4" s="127" t="s">
        <v>218</v>
      </c>
      <c r="I4" s="127" t="s">
        <v>219</v>
      </c>
      <c r="J4" s="127" t="s">
        <v>220</v>
      </c>
      <c r="K4" s="127" t="s">
        <v>221</v>
      </c>
      <c r="L4" s="175"/>
      <c r="M4" s="175"/>
      <c r="N4" s="175"/>
      <c r="O4" s="175"/>
      <c r="P4" s="170"/>
      <c r="Q4" s="170"/>
      <c r="R4" s="170"/>
      <c r="S4" s="171"/>
    </row>
    <row r="5" spans="1:19" ht="21" customHeight="1">
      <c r="A5" s="175"/>
      <c r="B5" s="175"/>
      <c r="C5" s="175"/>
      <c r="D5" s="175"/>
      <c r="E5" s="175"/>
      <c r="F5" s="175"/>
      <c r="G5" s="126"/>
      <c r="H5" s="127" t="s">
        <v>222</v>
      </c>
      <c r="I5" s="127" t="s">
        <v>223</v>
      </c>
      <c r="J5" s="127" t="s">
        <v>224</v>
      </c>
      <c r="K5" s="127" t="s">
        <v>32</v>
      </c>
      <c r="L5" s="175"/>
      <c r="M5" s="175"/>
      <c r="N5" s="175"/>
      <c r="O5" s="175"/>
      <c r="P5" s="170"/>
      <c r="Q5" s="170"/>
      <c r="R5" s="170"/>
      <c r="S5" s="171"/>
    </row>
    <row r="6" spans="1:19" ht="21" customHeight="1">
      <c r="A6" s="176"/>
      <c r="B6" s="176"/>
      <c r="C6" s="176"/>
      <c r="D6" s="176"/>
      <c r="E6" s="176"/>
      <c r="F6" s="176"/>
      <c r="G6" s="176"/>
      <c r="H6" s="173"/>
      <c r="I6" s="173"/>
      <c r="J6" s="173"/>
      <c r="K6" s="173"/>
      <c r="L6" s="176"/>
      <c r="M6" s="176"/>
      <c r="N6" s="176"/>
      <c r="O6" s="177"/>
      <c r="P6" s="170"/>
      <c r="Q6" s="170"/>
      <c r="R6" s="170"/>
      <c r="S6" s="171"/>
    </row>
    <row r="7" spans="1:19" ht="21" customHeight="1">
      <c r="P7" s="128"/>
      <c r="Q7" s="128"/>
      <c r="R7" s="128"/>
      <c r="S7" s="128"/>
    </row>
    <row r="8" spans="1:19" ht="21" customHeight="1">
      <c r="A8" s="129" t="s">
        <v>2</v>
      </c>
      <c r="B8" s="129" t="s">
        <v>117</v>
      </c>
      <c r="C8" s="129" t="s">
        <v>116</v>
      </c>
      <c r="D8" s="129" t="s">
        <v>166</v>
      </c>
      <c r="E8" s="129" t="s">
        <v>225</v>
      </c>
      <c r="F8" s="129" t="s">
        <v>27</v>
      </c>
      <c r="G8" s="129" t="s">
        <v>112</v>
      </c>
      <c r="H8" s="129" t="s">
        <v>226</v>
      </c>
      <c r="I8" s="129" t="s">
        <v>227</v>
      </c>
      <c r="J8" s="129" t="s">
        <v>185</v>
      </c>
      <c r="K8" s="129" t="s">
        <v>163</v>
      </c>
      <c r="L8" s="129" t="s">
        <v>188</v>
      </c>
      <c r="M8" s="129" t="s">
        <v>228</v>
      </c>
      <c r="N8" s="129" t="s">
        <v>229</v>
      </c>
      <c r="O8" s="129" t="s">
        <v>230</v>
      </c>
    </row>
    <row r="9" spans="1:19" ht="21" customHeight="1">
      <c r="A9" s="124">
        <v>1</v>
      </c>
      <c r="B9" s="124" t="s">
        <v>32</v>
      </c>
      <c r="C9" s="124" t="s">
        <v>231</v>
      </c>
      <c r="D9" s="124" t="s">
        <v>232</v>
      </c>
      <c r="E9" s="124" t="s">
        <v>114</v>
      </c>
      <c r="F9" s="130">
        <v>136587796</v>
      </c>
      <c r="G9" s="131" t="s">
        <v>266</v>
      </c>
      <c r="H9" s="124" t="s">
        <v>233</v>
      </c>
      <c r="I9" s="124" t="s">
        <v>234</v>
      </c>
      <c r="J9" s="124" t="s">
        <v>235</v>
      </c>
      <c r="K9" s="124" t="s">
        <v>236</v>
      </c>
      <c r="L9" s="124" t="s">
        <v>237</v>
      </c>
      <c r="M9" s="124" t="s">
        <v>238</v>
      </c>
    </row>
    <row r="11" spans="1:19" ht="21" customHeight="1">
      <c r="E11" s="132" t="s">
        <v>266</v>
      </c>
      <c r="F11" s="133">
        <f>F9</f>
        <v>136587796</v>
      </c>
    </row>
  </sheetData>
  <mergeCells count="5">
    <mergeCell ref="P1:S6"/>
    <mergeCell ref="A2:O2"/>
    <mergeCell ref="A3:F5"/>
    <mergeCell ref="L3:O5"/>
    <mergeCell ref="A6:O6"/>
  </mergeCells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5"/>
  <sheetViews>
    <sheetView rightToLeft="1" zoomScaleNormal="100" workbookViewId="0">
      <pane ySplit="1" topLeftCell="A2" activePane="bottomLeft" state="frozen"/>
      <selection pane="bottomLeft" activeCell="E3" sqref="E3:E5"/>
    </sheetView>
  </sheetViews>
  <sheetFormatPr defaultColWidth="9.125" defaultRowHeight="23.25" customHeight="1"/>
  <cols>
    <col min="1" max="1" width="13.5" style="144" bestFit="1" customWidth="1"/>
    <col min="2" max="2" width="37" style="143" bestFit="1" customWidth="1"/>
    <col min="3" max="3" width="12" style="143" bestFit="1" customWidth="1"/>
    <col min="4" max="4" width="22.625" style="143" bestFit="1" customWidth="1"/>
    <col min="5" max="5" width="16.5" style="143" bestFit="1" customWidth="1"/>
    <col min="6" max="6" width="17.625" style="143" bestFit="1" customWidth="1"/>
    <col min="7" max="7" width="19.5" style="143" bestFit="1" customWidth="1"/>
    <col min="8" max="8" width="20.625" style="143" bestFit="1" customWidth="1"/>
    <col min="9" max="9" width="16.125" style="143" bestFit="1" customWidth="1"/>
    <col min="10" max="10" width="16.625" style="143" bestFit="1" customWidth="1"/>
    <col min="11" max="11" width="19.875" style="143" bestFit="1" customWidth="1"/>
    <col min="12" max="12" width="36.5" style="143" bestFit="1" customWidth="1"/>
    <col min="13" max="17" width="10.5" style="144" bestFit="1" customWidth="1"/>
    <col min="18" max="256" width="9.125" style="144"/>
    <col min="257" max="257" width="13.5" style="144" bestFit="1" customWidth="1"/>
    <col min="258" max="258" width="37" style="144" bestFit="1" customWidth="1"/>
    <col min="259" max="259" width="12" style="144" bestFit="1" customWidth="1"/>
    <col min="260" max="260" width="22.625" style="144" bestFit="1" customWidth="1"/>
    <col min="261" max="261" width="16.5" style="144" bestFit="1" customWidth="1"/>
    <col min="262" max="262" width="17.625" style="144" bestFit="1" customWidth="1"/>
    <col min="263" max="263" width="19.5" style="144" bestFit="1" customWidth="1"/>
    <col min="264" max="264" width="20.625" style="144" bestFit="1" customWidth="1"/>
    <col min="265" max="265" width="16.125" style="144" bestFit="1" customWidth="1"/>
    <col min="266" max="266" width="16.625" style="144" bestFit="1" customWidth="1"/>
    <col min="267" max="267" width="19.875" style="144" bestFit="1" customWidth="1"/>
    <col min="268" max="268" width="36.5" style="144" bestFit="1" customWidth="1"/>
    <col min="269" max="273" width="10.5" style="144" bestFit="1" customWidth="1"/>
    <col min="274" max="512" width="9.125" style="144"/>
    <col min="513" max="513" width="13.5" style="144" bestFit="1" customWidth="1"/>
    <col min="514" max="514" width="37" style="144" bestFit="1" customWidth="1"/>
    <col min="515" max="515" width="12" style="144" bestFit="1" customWidth="1"/>
    <col min="516" max="516" width="22.625" style="144" bestFit="1" customWidth="1"/>
    <col min="517" max="517" width="16.5" style="144" bestFit="1" customWidth="1"/>
    <col min="518" max="518" width="17.625" style="144" bestFit="1" customWidth="1"/>
    <col min="519" max="519" width="19.5" style="144" bestFit="1" customWidth="1"/>
    <col min="520" max="520" width="20.625" style="144" bestFit="1" customWidth="1"/>
    <col min="521" max="521" width="16.125" style="144" bestFit="1" customWidth="1"/>
    <col min="522" max="522" width="16.625" style="144" bestFit="1" customWidth="1"/>
    <col min="523" max="523" width="19.875" style="144" bestFit="1" customWidth="1"/>
    <col min="524" max="524" width="36.5" style="144" bestFit="1" customWidth="1"/>
    <col min="525" max="529" width="10.5" style="144" bestFit="1" customWidth="1"/>
    <col min="530" max="768" width="9.125" style="144"/>
    <col min="769" max="769" width="13.5" style="144" bestFit="1" customWidth="1"/>
    <col min="770" max="770" width="37" style="144" bestFit="1" customWidth="1"/>
    <col min="771" max="771" width="12" style="144" bestFit="1" customWidth="1"/>
    <col min="772" max="772" width="22.625" style="144" bestFit="1" customWidth="1"/>
    <col min="773" max="773" width="16.5" style="144" bestFit="1" customWidth="1"/>
    <col min="774" max="774" width="17.625" style="144" bestFit="1" customWidth="1"/>
    <col min="775" max="775" width="19.5" style="144" bestFit="1" customWidth="1"/>
    <col min="776" max="776" width="20.625" style="144" bestFit="1" customWidth="1"/>
    <col min="777" max="777" width="16.125" style="144" bestFit="1" customWidth="1"/>
    <col min="778" max="778" width="16.625" style="144" bestFit="1" customWidth="1"/>
    <col min="779" max="779" width="19.875" style="144" bestFit="1" customWidth="1"/>
    <col min="780" max="780" width="36.5" style="144" bestFit="1" customWidth="1"/>
    <col min="781" max="785" width="10.5" style="144" bestFit="1" customWidth="1"/>
    <col min="786" max="1024" width="9.125" style="144"/>
    <col min="1025" max="1025" width="13.5" style="144" bestFit="1" customWidth="1"/>
    <col min="1026" max="1026" width="37" style="144" bestFit="1" customWidth="1"/>
    <col min="1027" max="1027" width="12" style="144" bestFit="1" customWidth="1"/>
    <col min="1028" max="1028" width="22.625" style="144" bestFit="1" customWidth="1"/>
    <col min="1029" max="1029" width="16.5" style="144" bestFit="1" customWidth="1"/>
    <col min="1030" max="1030" width="17.625" style="144" bestFit="1" customWidth="1"/>
    <col min="1031" max="1031" width="19.5" style="144" bestFit="1" customWidth="1"/>
    <col min="1032" max="1032" width="20.625" style="144" bestFit="1" customWidth="1"/>
    <col min="1033" max="1033" width="16.125" style="144" bestFit="1" customWidth="1"/>
    <col min="1034" max="1034" width="16.625" style="144" bestFit="1" customWidth="1"/>
    <col min="1035" max="1035" width="19.875" style="144" bestFit="1" customWidth="1"/>
    <col min="1036" max="1036" width="36.5" style="144" bestFit="1" customWidth="1"/>
    <col min="1037" max="1041" width="10.5" style="144" bestFit="1" customWidth="1"/>
    <col min="1042" max="1280" width="9.125" style="144"/>
    <col min="1281" max="1281" width="13.5" style="144" bestFit="1" customWidth="1"/>
    <col min="1282" max="1282" width="37" style="144" bestFit="1" customWidth="1"/>
    <col min="1283" max="1283" width="12" style="144" bestFit="1" customWidth="1"/>
    <col min="1284" max="1284" width="22.625" style="144" bestFit="1" customWidth="1"/>
    <col min="1285" max="1285" width="16.5" style="144" bestFit="1" customWidth="1"/>
    <col min="1286" max="1286" width="17.625" style="144" bestFit="1" customWidth="1"/>
    <col min="1287" max="1287" width="19.5" style="144" bestFit="1" customWidth="1"/>
    <col min="1288" max="1288" width="20.625" style="144" bestFit="1" customWidth="1"/>
    <col min="1289" max="1289" width="16.125" style="144" bestFit="1" customWidth="1"/>
    <col min="1290" max="1290" width="16.625" style="144" bestFit="1" customWidth="1"/>
    <col min="1291" max="1291" width="19.875" style="144" bestFit="1" customWidth="1"/>
    <col min="1292" max="1292" width="36.5" style="144" bestFit="1" customWidth="1"/>
    <col min="1293" max="1297" width="10.5" style="144" bestFit="1" customWidth="1"/>
    <col min="1298" max="1536" width="9.125" style="144"/>
    <col min="1537" max="1537" width="13.5" style="144" bestFit="1" customWidth="1"/>
    <col min="1538" max="1538" width="37" style="144" bestFit="1" customWidth="1"/>
    <col min="1539" max="1539" width="12" style="144" bestFit="1" customWidth="1"/>
    <col min="1540" max="1540" width="22.625" style="144" bestFit="1" customWidth="1"/>
    <col min="1541" max="1541" width="16.5" style="144" bestFit="1" customWidth="1"/>
    <col min="1542" max="1542" width="17.625" style="144" bestFit="1" customWidth="1"/>
    <col min="1543" max="1543" width="19.5" style="144" bestFit="1" customWidth="1"/>
    <col min="1544" max="1544" width="20.625" style="144" bestFit="1" customWidth="1"/>
    <col min="1545" max="1545" width="16.125" style="144" bestFit="1" customWidth="1"/>
    <col min="1546" max="1546" width="16.625" style="144" bestFit="1" customWidth="1"/>
    <col min="1547" max="1547" width="19.875" style="144" bestFit="1" customWidth="1"/>
    <col min="1548" max="1548" width="36.5" style="144" bestFit="1" customWidth="1"/>
    <col min="1549" max="1553" width="10.5" style="144" bestFit="1" customWidth="1"/>
    <col min="1554" max="1792" width="9.125" style="144"/>
    <col min="1793" max="1793" width="13.5" style="144" bestFit="1" customWidth="1"/>
    <col min="1794" max="1794" width="37" style="144" bestFit="1" customWidth="1"/>
    <col min="1795" max="1795" width="12" style="144" bestFit="1" customWidth="1"/>
    <col min="1796" max="1796" width="22.625" style="144" bestFit="1" customWidth="1"/>
    <col min="1797" max="1797" width="16.5" style="144" bestFit="1" customWidth="1"/>
    <col min="1798" max="1798" width="17.625" style="144" bestFit="1" customWidth="1"/>
    <col min="1799" max="1799" width="19.5" style="144" bestFit="1" customWidth="1"/>
    <col min="1800" max="1800" width="20.625" style="144" bestFit="1" customWidth="1"/>
    <col min="1801" max="1801" width="16.125" style="144" bestFit="1" customWidth="1"/>
    <col min="1802" max="1802" width="16.625" style="144" bestFit="1" customWidth="1"/>
    <col min="1803" max="1803" width="19.875" style="144" bestFit="1" customWidth="1"/>
    <col min="1804" max="1804" width="36.5" style="144" bestFit="1" customWidth="1"/>
    <col min="1805" max="1809" width="10.5" style="144" bestFit="1" customWidth="1"/>
    <col min="1810" max="2048" width="9.125" style="144"/>
    <col min="2049" max="2049" width="13.5" style="144" bestFit="1" customWidth="1"/>
    <col min="2050" max="2050" width="37" style="144" bestFit="1" customWidth="1"/>
    <col min="2051" max="2051" width="12" style="144" bestFit="1" customWidth="1"/>
    <col min="2052" max="2052" width="22.625" style="144" bestFit="1" customWidth="1"/>
    <col min="2053" max="2053" width="16.5" style="144" bestFit="1" customWidth="1"/>
    <col min="2054" max="2054" width="17.625" style="144" bestFit="1" customWidth="1"/>
    <col min="2055" max="2055" width="19.5" style="144" bestFit="1" customWidth="1"/>
    <col min="2056" max="2056" width="20.625" style="144" bestFit="1" customWidth="1"/>
    <col min="2057" max="2057" width="16.125" style="144" bestFit="1" customWidth="1"/>
    <col min="2058" max="2058" width="16.625" style="144" bestFit="1" customWidth="1"/>
    <col min="2059" max="2059" width="19.875" style="144" bestFit="1" customWidth="1"/>
    <col min="2060" max="2060" width="36.5" style="144" bestFit="1" customWidth="1"/>
    <col min="2061" max="2065" width="10.5" style="144" bestFit="1" customWidth="1"/>
    <col min="2066" max="2304" width="9.125" style="144"/>
    <col min="2305" max="2305" width="13.5" style="144" bestFit="1" customWidth="1"/>
    <col min="2306" max="2306" width="37" style="144" bestFit="1" customWidth="1"/>
    <col min="2307" max="2307" width="12" style="144" bestFit="1" customWidth="1"/>
    <col min="2308" max="2308" width="22.625" style="144" bestFit="1" customWidth="1"/>
    <col min="2309" max="2309" width="16.5" style="144" bestFit="1" customWidth="1"/>
    <col min="2310" max="2310" width="17.625" style="144" bestFit="1" customWidth="1"/>
    <col min="2311" max="2311" width="19.5" style="144" bestFit="1" customWidth="1"/>
    <col min="2312" max="2312" width="20.625" style="144" bestFit="1" customWidth="1"/>
    <col min="2313" max="2313" width="16.125" style="144" bestFit="1" customWidth="1"/>
    <col min="2314" max="2314" width="16.625" style="144" bestFit="1" customWidth="1"/>
    <col min="2315" max="2315" width="19.875" style="144" bestFit="1" customWidth="1"/>
    <col min="2316" max="2316" width="36.5" style="144" bestFit="1" customWidth="1"/>
    <col min="2317" max="2321" width="10.5" style="144" bestFit="1" customWidth="1"/>
    <col min="2322" max="2560" width="9.125" style="144"/>
    <col min="2561" max="2561" width="13.5" style="144" bestFit="1" customWidth="1"/>
    <col min="2562" max="2562" width="37" style="144" bestFit="1" customWidth="1"/>
    <col min="2563" max="2563" width="12" style="144" bestFit="1" customWidth="1"/>
    <col min="2564" max="2564" width="22.625" style="144" bestFit="1" customWidth="1"/>
    <col min="2565" max="2565" width="16.5" style="144" bestFit="1" customWidth="1"/>
    <col min="2566" max="2566" width="17.625" style="144" bestFit="1" customWidth="1"/>
    <col min="2567" max="2567" width="19.5" style="144" bestFit="1" customWidth="1"/>
    <col min="2568" max="2568" width="20.625" style="144" bestFit="1" customWidth="1"/>
    <col min="2569" max="2569" width="16.125" style="144" bestFit="1" customWidth="1"/>
    <col min="2570" max="2570" width="16.625" style="144" bestFit="1" customWidth="1"/>
    <col min="2571" max="2571" width="19.875" style="144" bestFit="1" customWidth="1"/>
    <col min="2572" max="2572" width="36.5" style="144" bestFit="1" customWidth="1"/>
    <col min="2573" max="2577" width="10.5" style="144" bestFit="1" customWidth="1"/>
    <col min="2578" max="2816" width="9.125" style="144"/>
    <col min="2817" max="2817" width="13.5" style="144" bestFit="1" customWidth="1"/>
    <col min="2818" max="2818" width="37" style="144" bestFit="1" customWidth="1"/>
    <col min="2819" max="2819" width="12" style="144" bestFit="1" customWidth="1"/>
    <col min="2820" max="2820" width="22.625" style="144" bestFit="1" customWidth="1"/>
    <col min="2821" max="2821" width="16.5" style="144" bestFit="1" customWidth="1"/>
    <col min="2822" max="2822" width="17.625" style="144" bestFit="1" customWidth="1"/>
    <col min="2823" max="2823" width="19.5" style="144" bestFit="1" customWidth="1"/>
    <col min="2824" max="2824" width="20.625" style="144" bestFit="1" customWidth="1"/>
    <col min="2825" max="2825" width="16.125" style="144" bestFit="1" customWidth="1"/>
    <col min="2826" max="2826" width="16.625" style="144" bestFit="1" customWidth="1"/>
    <col min="2827" max="2827" width="19.875" style="144" bestFit="1" customWidth="1"/>
    <col min="2828" max="2828" width="36.5" style="144" bestFit="1" customWidth="1"/>
    <col min="2829" max="2833" width="10.5" style="144" bestFit="1" customWidth="1"/>
    <col min="2834" max="3072" width="9.125" style="144"/>
    <col min="3073" max="3073" width="13.5" style="144" bestFit="1" customWidth="1"/>
    <col min="3074" max="3074" width="37" style="144" bestFit="1" customWidth="1"/>
    <col min="3075" max="3075" width="12" style="144" bestFit="1" customWidth="1"/>
    <col min="3076" max="3076" width="22.625" style="144" bestFit="1" customWidth="1"/>
    <col min="3077" max="3077" width="16.5" style="144" bestFit="1" customWidth="1"/>
    <col min="3078" max="3078" width="17.625" style="144" bestFit="1" customWidth="1"/>
    <col min="3079" max="3079" width="19.5" style="144" bestFit="1" customWidth="1"/>
    <col min="3080" max="3080" width="20.625" style="144" bestFit="1" customWidth="1"/>
    <col min="3081" max="3081" width="16.125" style="144" bestFit="1" customWidth="1"/>
    <col min="3082" max="3082" width="16.625" style="144" bestFit="1" customWidth="1"/>
    <col min="3083" max="3083" width="19.875" style="144" bestFit="1" customWidth="1"/>
    <col min="3084" max="3084" width="36.5" style="144" bestFit="1" customWidth="1"/>
    <col min="3085" max="3089" width="10.5" style="144" bestFit="1" customWidth="1"/>
    <col min="3090" max="3328" width="9.125" style="144"/>
    <col min="3329" max="3329" width="13.5" style="144" bestFit="1" customWidth="1"/>
    <col min="3330" max="3330" width="37" style="144" bestFit="1" customWidth="1"/>
    <col min="3331" max="3331" width="12" style="144" bestFit="1" customWidth="1"/>
    <col min="3332" max="3332" width="22.625" style="144" bestFit="1" customWidth="1"/>
    <col min="3333" max="3333" width="16.5" style="144" bestFit="1" customWidth="1"/>
    <col min="3334" max="3334" width="17.625" style="144" bestFit="1" customWidth="1"/>
    <col min="3335" max="3335" width="19.5" style="144" bestFit="1" customWidth="1"/>
    <col min="3336" max="3336" width="20.625" style="144" bestFit="1" customWidth="1"/>
    <col min="3337" max="3337" width="16.125" style="144" bestFit="1" customWidth="1"/>
    <col min="3338" max="3338" width="16.625" style="144" bestFit="1" customWidth="1"/>
    <col min="3339" max="3339" width="19.875" style="144" bestFit="1" customWidth="1"/>
    <col min="3340" max="3340" width="36.5" style="144" bestFit="1" customWidth="1"/>
    <col min="3341" max="3345" width="10.5" style="144" bestFit="1" customWidth="1"/>
    <col min="3346" max="3584" width="9.125" style="144"/>
    <col min="3585" max="3585" width="13.5" style="144" bestFit="1" customWidth="1"/>
    <col min="3586" max="3586" width="37" style="144" bestFit="1" customWidth="1"/>
    <col min="3587" max="3587" width="12" style="144" bestFit="1" customWidth="1"/>
    <col min="3588" max="3588" width="22.625" style="144" bestFit="1" customWidth="1"/>
    <col min="3589" max="3589" width="16.5" style="144" bestFit="1" customWidth="1"/>
    <col min="3590" max="3590" width="17.625" style="144" bestFit="1" customWidth="1"/>
    <col min="3591" max="3591" width="19.5" style="144" bestFit="1" customWidth="1"/>
    <col min="3592" max="3592" width="20.625" style="144" bestFit="1" customWidth="1"/>
    <col min="3593" max="3593" width="16.125" style="144" bestFit="1" customWidth="1"/>
    <col min="3594" max="3594" width="16.625" style="144" bestFit="1" customWidth="1"/>
    <col min="3595" max="3595" width="19.875" style="144" bestFit="1" customWidth="1"/>
    <col min="3596" max="3596" width="36.5" style="144" bestFit="1" customWidth="1"/>
    <col min="3597" max="3601" width="10.5" style="144" bestFit="1" customWidth="1"/>
    <col min="3602" max="3840" width="9.125" style="144"/>
    <col min="3841" max="3841" width="13.5" style="144" bestFit="1" customWidth="1"/>
    <col min="3842" max="3842" width="37" style="144" bestFit="1" customWidth="1"/>
    <col min="3843" max="3843" width="12" style="144" bestFit="1" customWidth="1"/>
    <col min="3844" max="3844" width="22.625" style="144" bestFit="1" customWidth="1"/>
    <col min="3845" max="3845" width="16.5" style="144" bestFit="1" customWidth="1"/>
    <col min="3846" max="3846" width="17.625" style="144" bestFit="1" customWidth="1"/>
    <col min="3847" max="3847" width="19.5" style="144" bestFit="1" customWidth="1"/>
    <col min="3848" max="3848" width="20.625" style="144" bestFit="1" customWidth="1"/>
    <col min="3849" max="3849" width="16.125" style="144" bestFit="1" customWidth="1"/>
    <col min="3850" max="3850" width="16.625" style="144" bestFit="1" customWidth="1"/>
    <col min="3851" max="3851" width="19.875" style="144" bestFit="1" customWidth="1"/>
    <col min="3852" max="3852" width="36.5" style="144" bestFit="1" customWidth="1"/>
    <col min="3853" max="3857" width="10.5" style="144" bestFit="1" customWidth="1"/>
    <col min="3858" max="4096" width="9.125" style="144"/>
    <col min="4097" max="4097" width="13.5" style="144" bestFit="1" customWidth="1"/>
    <col min="4098" max="4098" width="37" style="144" bestFit="1" customWidth="1"/>
    <col min="4099" max="4099" width="12" style="144" bestFit="1" customWidth="1"/>
    <col min="4100" max="4100" width="22.625" style="144" bestFit="1" customWidth="1"/>
    <col min="4101" max="4101" width="16.5" style="144" bestFit="1" customWidth="1"/>
    <col min="4102" max="4102" width="17.625" style="144" bestFit="1" customWidth="1"/>
    <col min="4103" max="4103" width="19.5" style="144" bestFit="1" customWidth="1"/>
    <col min="4104" max="4104" width="20.625" style="144" bestFit="1" customWidth="1"/>
    <col min="4105" max="4105" width="16.125" style="144" bestFit="1" customWidth="1"/>
    <col min="4106" max="4106" width="16.625" style="144" bestFit="1" customWidth="1"/>
    <col min="4107" max="4107" width="19.875" style="144" bestFit="1" customWidth="1"/>
    <col min="4108" max="4108" width="36.5" style="144" bestFit="1" customWidth="1"/>
    <col min="4109" max="4113" width="10.5" style="144" bestFit="1" customWidth="1"/>
    <col min="4114" max="4352" width="9.125" style="144"/>
    <col min="4353" max="4353" width="13.5" style="144" bestFit="1" customWidth="1"/>
    <col min="4354" max="4354" width="37" style="144" bestFit="1" customWidth="1"/>
    <col min="4355" max="4355" width="12" style="144" bestFit="1" customWidth="1"/>
    <col min="4356" max="4356" width="22.625" style="144" bestFit="1" customWidth="1"/>
    <col min="4357" max="4357" width="16.5" style="144" bestFit="1" customWidth="1"/>
    <col min="4358" max="4358" width="17.625" style="144" bestFit="1" customWidth="1"/>
    <col min="4359" max="4359" width="19.5" style="144" bestFit="1" customWidth="1"/>
    <col min="4360" max="4360" width="20.625" style="144" bestFit="1" customWidth="1"/>
    <col min="4361" max="4361" width="16.125" style="144" bestFit="1" customWidth="1"/>
    <col min="4362" max="4362" width="16.625" style="144" bestFit="1" customWidth="1"/>
    <col min="4363" max="4363" width="19.875" style="144" bestFit="1" customWidth="1"/>
    <col min="4364" max="4364" width="36.5" style="144" bestFit="1" customWidth="1"/>
    <col min="4365" max="4369" width="10.5" style="144" bestFit="1" customWidth="1"/>
    <col min="4370" max="4608" width="9.125" style="144"/>
    <col min="4609" max="4609" width="13.5" style="144" bestFit="1" customWidth="1"/>
    <col min="4610" max="4610" width="37" style="144" bestFit="1" customWidth="1"/>
    <col min="4611" max="4611" width="12" style="144" bestFit="1" customWidth="1"/>
    <col min="4612" max="4612" width="22.625" style="144" bestFit="1" customWidth="1"/>
    <col min="4613" max="4613" width="16.5" style="144" bestFit="1" customWidth="1"/>
    <col min="4614" max="4614" width="17.625" style="144" bestFit="1" customWidth="1"/>
    <col min="4615" max="4615" width="19.5" style="144" bestFit="1" customWidth="1"/>
    <col min="4616" max="4616" width="20.625" style="144" bestFit="1" customWidth="1"/>
    <col min="4617" max="4617" width="16.125" style="144" bestFit="1" customWidth="1"/>
    <col min="4618" max="4618" width="16.625" style="144" bestFit="1" customWidth="1"/>
    <col min="4619" max="4619" width="19.875" style="144" bestFit="1" customWidth="1"/>
    <col min="4620" max="4620" width="36.5" style="144" bestFit="1" customWidth="1"/>
    <col min="4621" max="4625" width="10.5" style="144" bestFit="1" customWidth="1"/>
    <col min="4626" max="4864" width="9.125" style="144"/>
    <col min="4865" max="4865" width="13.5" style="144" bestFit="1" customWidth="1"/>
    <col min="4866" max="4866" width="37" style="144" bestFit="1" customWidth="1"/>
    <col min="4867" max="4867" width="12" style="144" bestFit="1" customWidth="1"/>
    <col min="4868" max="4868" width="22.625" style="144" bestFit="1" customWidth="1"/>
    <col min="4869" max="4869" width="16.5" style="144" bestFit="1" customWidth="1"/>
    <col min="4870" max="4870" width="17.625" style="144" bestFit="1" customWidth="1"/>
    <col min="4871" max="4871" width="19.5" style="144" bestFit="1" customWidth="1"/>
    <col min="4872" max="4872" width="20.625" style="144" bestFit="1" customWidth="1"/>
    <col min="4873" max="4873" width="16.125" style="144" bestFit="1" customWidth="1"/>
    <col min="4874" max="4874" width="16.625" style="144" bestFit="1" customWidth="1"/>
    <col min="4875" max="4875" width="19.875" style="144" bestFit="1" customWidth="1"/>
    <col min="4876" max="4876" width="36.5" style="144" bestFit="1" customWidth="1"/>
    <col min="4877" max="4881" width="10.5" style="144" bestFit="1" customWidth="1"/>
    <col min="4882" max="5120" width="9.125" style="144"/>
    <col min="5121" max="5121" width="13.5" style="144" bestFit="1" customWidth="1"/>
    <col min="5122" max="5122" width="37" style="144" bestFit="1" customWidth="1"/>
    <col min="5123" max="5123" width="12" style="144" bestFit="1" customWidth="1"/>
    <col min="5124" max="5124" width="22.625" style="144" bestFit="1" customWidth="1"/>
    <col min="5125" max="5125" width="16.5" style="144" bestFit="1" customWidth="1"/>
    <col min="5126" max="5126" width="17.625" style="144" bestFit="1" customWidth="1"/>
    <col min="5127" max="5127" width="19.5" style="144" bestFit="1" customWidth="1"/>
    <col min="5128" max="5128" width="20.625" style="144" bestFit="1" customWidth="1"/>
    <col min="5129" max="5129" width="16.125" style="144" bestFit="1" customWidth="1"/>
    <col min="5130" max="5130" width="16.625" style="144" bestFit="1" customWidth="1"/>
    <col min="5131" max="5131" width="19.875" style="144" bestFit="1" customWidth="1"/>
    <col min="5132" max="5132" width="36.5" style="144" bestFit="1" customWidth="1"/>
    <col min="5133" max="5137" width="10.5" style="144" bestFit="1" customWidth="1"/>
    <col min="5138" max="5376" width="9.125" style="144"/>
    <col min="5377" max="5377" width="13.5" style="144" bestFit="1" customWidth="1"/>
    <col min="5378" max="5378" width="37" style="144" bestFit="1" customWidth="1"/>
    <col min="5379" max="5379" width="12" style="144" bestFit="1" customWidth="1"/>
    <col min="5380" max="5380" width="22.625" style="144" bestFit="1" customWidth="1"/>
    <col min="5381" max="5381" width="16.5" style="144" bestFit="1" customWidth="1"/>
    <col min="5382" max="5382" width="17.625" style="144" bestFit="1" customWidth="1"/>
    <col min="5383" max="5383" width="19.5" style="144" bestFit="1" customWidth="1"/>
    <col min="5384" max="5384" width="20.625" style="144" bestFit="1" customWidth="1"/>
    <col min="5385" max="5385" width="16.125" style="144" bestFit="1" customWidth="1"/>
    <col min="5386" max="5386" width="16.625" style="144" bestFit="1" customWidth="1"/>
    <col min="5387" max="5387" width="19.875" style="144" bestFit="1" customWidth="1"/>
    <col min="5388" max="5388" width="36.5" style="144" bestFit="1" customWidth="1"/>
    <col min="5389" max="5393" width="10.5" style="144" bestFit="1" customWidth="1"/>
    <col min="5394" max="5632" width="9.125" style="144"/>
    <col min="5633" max="5633" width="13.5" style="144" bestFit="1" customWidth="1"/>
    <col min="5634" max="5634" width="37" style="144" bestFit="1" customWidth="1"/>
    <col min="5635" max="5635" width="12" style="144" bestFit="1" customWidth="1"/>
    <col min="5636" max="5636" width="22.625" style="144" bestFit="1" customWidth="1"/>
    <col min="5637" max="5637" width="16.5" style="144" bestFit="1" customWidth="1"/>
    <col min="5638" max="5638" width="17.625" style="144" bestFit="1" customWidth="1"/>
    <col min="5639" max="5639" width="19.5" style="144" bestFit="1" customWidth="1"/>
    <col min="5640" max="5640" width="20.625" style="144" bestFit="1" customWidth="1"/>
    <col min="5641" max="5641" width="16.125" style="144" bestFit="1" customWidth="1"/>
    <col min="5642" max="5642" width="16.625" style="144" bestFit="1" customWidth="1"/>
    <col min="5643" max="5643" width="19.875" style="144" bestFit="1" customWidth="1"/>
    <col min="5644" max="5644" width="36.5" style="144" bestFit="1" customWidth="1"/>
    <col min="5645" max="5649" width="10.5" style="144" bestFit="1" customWidth="1"/>
    <col min="5650" max="5888" width="9.125" style="144"/>
    <col min="5889" max="5889" width="13.5" style="144" bestFit="1" customWidth="1"/>
    <col min="5890" max="5890" width="37" style="144" bestFit="1" customWidth="1"/>
    <col min="5891" max="5891" width="12" style="144" bestFit="1" customWidth="1"/>
    <col min="5892" max="5892" width="22.625" style="144" bestFit="1" customWidth="1"/>
    <col min="5893" max="5893" width="16.5" style="144" bestFit="1" customWidth="1"/>
    <col min="5894" max="5894" width="17.625" style="144" bestFit="1" customWidth="1"/>
    <col min="5895" max="5895" width="19.5" style="144" bestFit="1" customWidth="1"/>
    <col min="5896" max="5896" width="20.625" style="144" bestFit="1" customWidth="1"/>
    <col min="5897" max="5897" width="16.125" style="144" bestFit="1" customWidth="1"/>
    <col min="5898" max="5898" width="16.625" style="144" bestFit="1" customWidth="1"/>
    <col min="5899" max="5899" width="19.875" style="144" bestFit="1" customWidth="1"/>
    <col min="5900" max="5900" width="36.5" style="144" bestFit="1" customWidth="1"/>
    <col min="5901" max="5905" width="10.5" style="144" bestFit="1" customWidth="1"/>
    <col min="5906" max="6144" width="9.125" style="144"/>
    <col min="6145" max="6145" width="13.5" style="144" bestFit="1" customWidth="1"/>
    <col min="6146" max="6146" width="37" style="144" bestFit="1" customWidth="1"/>
    <col min="6147" max="6147" width="12" style="144" bestFit="1" customWidth="1"/>
    <col min="6148" max="6148" width="22.625" style="144" bestFit="1" customWidth="1"/>
    <col min="6149" max="6149" width="16.5" style="144" bestFit="1" customWidth="1"/>
    <col min="6150" max="6150" width="17.625" style="144" bestFit="1" customWidth="1"/>
    <col min="6151" max="6151" width="19.5" style="144" bestFit="1" customWidth="1"/>
    <col min="6152" max="6152" width="20.625" style="144" bestFit="1" customWidth="1"/>
    <col min="6153" max="6153" width="16.125" style="144" bestFit="1" customWidth="1"/>
    <col min="6154" max="6154" width="16.625" style="144" bestFit="1" customWidth="1"/>
    <col min="6155" max="6155" width="19.875" style="144" bestFit="1" customWidth="1"/>
    <col min="6156" max="6156" width="36.5" style="144" bestFit="1" customWidth="1"/>
    <col min="6157" max="6161" width="10.5" style="144" bestFit="1" customWidth="1"/>
    <col min="6162" max="6400" width="9.125" style="144"/>
    <col min="6401" max="6401" width="13.5" style="144" bestFit="1" customWidth="1"/>
    <col min="6402" max="6402" width="37" style="144" bestFit="1" customWidth="1"/>
    <col min="6403" max="6403" width="12" style="144" bestFit="1" customWidth="1"/>
    <col min="6404" max="6404" width="22.625" style="144" bestFit="1" customWidth="1"/>
    <col min="6405" max="6405" width="16.5" style="144" bestFit="1" customWidth="1"/>
    <col min="6406" max="6406" width="17.625" style="144" bestFit="1" customWidth="1"/>
    <col min="6407" max="6407" width="19.5" style="144" bestFit="1" customWidth="1"/>
    <col min="6408" max="6408" width="20.625" style="144" bestFit="1" customWidth="1"/>
    <col min="6409" max="6409" width="16.125" style="144" bestFit="1" customWidth="1"/>
    <col min="6410" max="6410" width="16.625" style="144" bestFit="1" customWidth="1"/>
    <col min="6411" max="6411" width="19.875" style="144" bestFit="1" customWidth="1"/>
    <col min="6412" max="6412" width="36.5" style="144" bestFit="1" customWidth="1"/>
    <col min="6413" max="6417" width="10.5" style="144" bestFit="1" customWidth="1"/>
    <col min="6418" max="6656" width="9.125" style="144"/>
    <col min="6657" max="6657" width="13.5" style="144" bestFit="1" customWidth="1"/>
    <col min="6658" max="6658" width="37" style="144" bestFit="1" customWidth="1"/>
    <col min="6659" max="6659" width="12" style="144" bestFit="1" customWidth="1"/>
    <col min="6660" max="6660" width="22.625" style="144" bestFit="1" customWidth="1"/>
    <col min="6661" max="6661" width="16.5" style="144" bestFit="1" customWidth="1"/>
    <col min="6662" max="6662" width="17.625" style="144" bestFit="1" customWidth="1"/>
    <col min="6663" max="6663" width="19.5" style="144" bestFit="1" customWidth="1"/>
    <col min="6664" max="6664" width="20.625" style="144" bestFit="1" customWidth="1"/>
    <col min="6665" max="6665" width="16.125" style="144" bestFit="1" customWidth="1"/>
    <col min="6666" max="6666" width="16.625" style="144" bestFit="1" customWidth="1"/>
    <col min="6667" max="6667" width="19.875" style="144" bestFit="1" customWidth="1"/>
    <col min="6668" max="6668" width="36.5" style="144" bestFit="1" customWidth="1"/>
    <col min="6669" max="6673" width="10.5" style="144" bestFit="1" customWidth="1"/>
    <col min="6674" max="6912" width="9.125" style="144"/>
    <col min="6913" max="6913" width="13.5" style="144" bestFit="1" customWidth="1"/>
    <col min="6914" max="6914" width="37" style="144" bestFit="1" customWidth="1"/>
    <col min="6915" max="6915" width="12" style="144" bestFit="1" customWidth="1"/>
    <col min="6916" max="6916" width="22.625" style="144" bestFit="1" customWidth="1"/>
    <col min="6917" max="6917" width="16.5" style="144" bestFit="1" customWidth="1"/>
    <col min="6918" max="6918" width="17.625" style="144" bestFit="1" customWidth="1"/>
    <col min="6919" max="6919" width="19.5" style="144" bestFit="1" customWidth="1"/>
    <col min="6920" max="6920" width="20.625" style="144" bestFit="1" customWidth="1"/>
    <col min="6921" max="6921" width="16.125" style="144" bestFit="1" customWidth="1"/>
    <col min="6922" max="6922" width="16.625" style="144" bestFit="1" customWidth="1"/>
    <col min="6923" max="6923" width="19.875" style="144" bestFit="1" customWidth="1"/>
    <col min="6924" max="6924" width="36.5" style="144" bestFit="1" customWidth="1"/>
    <col min="6925" max="6929" width="10.5" style="144" bestFit="1" customWidth="1"/>
    <col min="6930" max="7168" width="9.125" style="144"/>
    <col min="7169" max="7169" width="13.5" style="144" bestFit="1" customWidth="1"/>
    <col min="7170" max="7170" width="37" style="144" bestFit="1" customWidth="1"/>
    <col min="7171" max="7171" width="12" style="144" bestFit="1" customWidth="1"/>
    <col min="7172" max="7172" width="22.625" style="144" bestFit="1" customWidth="1"/>
    <col min="7173" max="7173" width="16.5" style="144" bestFit="1" customWidth="1"/>
    <col min="7174" max="7174" width="17.625" style="144" bestFit="1" customWidth="1"/>
    <col min="7175" max="7175" width="19.5" style="144" bestFit="1" customWidth="1"/>
    <col min="7176" max="7176" width="20.625" style="144" bestFit="1" customWidth="1"/>
    <col min="7177" max="7177" width="16.125" style="144" bestFit="1" customWidth="1"/>
    <col min="7178" max="7178" width="16.625" style="144" bestFit="1" customWidth="1"/>
    <col min="7179" max="7179" width="19.875" style="144" bestFit="1" customWidth="1"/>
    <col min="7180" max="7180" width="36.5" style="144" bestFit="1" customWidth="1"/>
    <col min="7181" max="7185" width="10.5" style="144" bestFit="1" customWidth="1"/>
    <col min="7186" max="7424" width="9.125" style="144"/>
    <col min="7425" max="7425" width="13.5" style="144" bestFit="1" customWidth="1"/>
    <col min="7426" max="7426" width="37" style="144" bestFit="1" customWidth="1"/>
    <col min="7427" max="7427" width="12" style="144" bestFit="1" customWidth="1"/>
    <col min="7428" max="7428" width="22.625" style="144" bestFit="1" customWidth="1"/>
    <col min="7429" max="7429" width="16.5" style="144" bestFit="1" customWidth="1"/>
    <col min="7430" max="7430" width="17.625" style="144" bestFit="1" customWidth="1"/>
    <col min="7431" max="7431" width="19.5" style="144" bestFit="1" customWidth="1"/>
    <col min="7432" max="7432" width="20.625" style="144" bestFit="1" customWidth="1"/>
    <col min="7433" max="7433" width="16.125" style="144" bestFit="1" customWidth="1"/>
    <col min="7434" max="7434" width="16.625" style="144" bestFit="1" customWidth="1"/>
    <col min="7435" max="7435" width="19.875" style="144" bestFit="1" customWidth="1"/>
    <col min="7436" max="7436" width="36.5" style="144" bestFit="1" customWidth="1"/>
    <col min="7437" max="7441" width="10.5" style="144" bestFit="1" customWidth="1"/>
    <col min="7442" max="7680" width="9.125" style="144"/>
    <col min="7681" max="7681" width="13.5" style="144" bestFit="1" customWidth="1"/>
    <col min="7682" max="7682" width="37" style="144" bestFit="1" customWidth="1"/>
    <col min="7683" max="7683" width="12" style="144" bestFit="1" customWidth="1"/>
    <col min="7684" max="7684" width="22.625" style="144" bestFit="1" customWidth="1"/>
    <col min="7685" max="7685" width="16.5" style="144" bestFit="1" customWidth="1"/>
    <col min="7686" max="7686" width="17.625" style="144" bestFit="1" customWidth="1"/>
    <col min="7687" max="7687" width="19.5" style="144" bestFit="1" customWidth="1"/>
    <col min="7688" max="7688" width="20.625" style="144" bestFit="1" customWidth="1"/>
    <col min="7689" max="7689" width="16.125" style="144" bestFit="1" customWidth="1"/>
    <col min="7690" max="7690" width="16.625" style="144" bestFit="1" customWidth="1"/>
    <col min="7691" max="7691" width="19.875" style="144" bestFit="1" customWidth="1"/>
    <col min="7692" max="7692" width="36.5" style="144" bestFit="1" customWidth="1"/>
    <col min="7693" max="7697" width="10.5" style="144" bestFit="1" customWidth="1"/>
    <col min="7698" max="7936" width="9.125" style="144"/>
    <col min="7937" max="7937" width="13.5" style="144" bestFit="1" customWidth="1"/>
    <col min="7938" max="7938" width="37" style="144" bestFit="1" customWidth="1"/>
    <col min="7939" max="7939" width="12" style="144" bestFit="1" customWidth="1"/>
    <col min="7940" max="7940" width="22.625" style="144" bestFit="1" customWidth="1"/>
    <col min="7941" max="7941" width="16.5" style="144" bestFit="1" customWidth="1"/>
    <col min="7942" max="7942" width="17.625" style="144" bestFit="1" customWidth="1"/>
    <col min="7943" max="7943" width="19.5" style="144" bestFit="1" customWidth="1"/>
    <col min="7944" max="7944" width="20.625" style="144" bestFit="1" customWidth="1"/>
    <col min="7945" max="7945" width="16.125" style="144" bestFit="1" customWidth="1"/>
    <col min="7946" max="7946" width="16.625" style="144" bestFit="1" customWidth="1"/>
    <col min="7947" max="7947" width="19.875" style="144" bestFit="1" customWidth="1"/>
    <col min="7948" max="7948" width="36.5" style="144" bestFit="1" customWidth="1"/>
    <col min="7949" max="7953" width="10.5" style="144" bestFit="1" customWidth="1"/>
    <col min="7954" max="8192" width="9.125" style="144"/>
    <col min="8193" max="8193" width="13.5" style="144" bestFit="1" customWidth="1"/>
    <col min="8194" max="8194" width="37" style="144" bestFit="1" customWidth="1"/>
    <col min="8195" max="8195" width="12" style="144" bestFit="1" customWidth="1"/>
    <col min="8196" max="8196" width="22.625" style="144" bestFit="1" customWidth="1"/>
    <col min="8197" max="8197" width="16.5" style="144" bestFit="1" customWidth="1"/>
    <col min="8198" max="8198" width="17.625" style="144" bestFit="1" customWidth="1"/>
    <col min="8199" max="8199" width="19.5" style="144" bestFit="1" customWidth="1"/>
    <col min="8200" max="8200" width="20.625" style="144" bestFit="1" customWidth="1"/>
    <col min="8201" max="8201" width="16.125" style="144" bestFit="1" customWidth="1"/>
    <col min="8202" max="8202" width="16.625" style="144" bestFit="1" customWidth="1"/>
    <col min="8203" max="8203" width="19.875" style="144" bestFit="1" customWidth="1"/>
    <col min="8204" max="8204" width="36.5" style="144" bestFit="1" customWidth="1"/>
    <col min="8205" max="8209" width="10.5" style="144" bestFit="1" customWidth="1"/>
    <col min="8210" max="8448" width="9.125" style="144"/>
    <col min="8449" max="8449" width="13.5" style="144" bestFit="1" customWidth="1"/>
    <col min="8450" max="8450" width="37" style="144" bestFit="1" customWidth="1"/>
    <col min="8451" max="8451" width="12" style="144" bestFit="1" customWidth="1"/>
    <col min="8452" max="8452" width="22.625" style="144" bestFit="1" customWidth="1"/>
    <col min="8453" max="8453" width="16.5" style="144" bestFit="1" customWidth="1"/>
    <col min="8454" max="8454" width="17.625" style="144" bestFit="1" customWidth="1"/>
    <col min="8455" max="8455" width="19.5" style="144" bestFit="1" customWidth="1"/>
    <col min="8456" max="8456" width="20.625" style="144" bestFit="1" customWidth="1"/>
    <col min="8457" max="8457" width="16.125" style="144" bestFit="1" customWidth="1"/>
    <col min="8458" max="8458" width="16.625" style="144" bestFit="1" customWidth="1"/>
    <col min="8459" max="8459" width="19.875" style="144" bestFit="1" customWidth="1"/>
    <col min="8460" max="8460" width="36.5" style="144" bestFit="1" customWidth="1"/>
    <col min="8461" max="8465" width="10.5" style="144" bestFit="1" customWidth="1"/>
    <col min="8466" max="8704" width="9.125" style="144"/>
    <col min="8705" max="8705" width="13.5" style="144" bestFit="1" customWidth="1"/>
    <col min="8706" max="8706" width="37" style="144" bestFit="1" customWidth="1"/>
    <col min="8707" max="8707" width="12" style="144" bestFit="1" customWidth="1"/>
    <col min="8708" max="8708" width="22.625" style="144" bestFit="1" customWidth="1"/>
    <col min="8709" max="8709" width="16.5" style="144" bestFit="1" customWidth="1"/>
    <col min="8710" max="8710" width="17.625" style="144" bestFit="1" customWidth="1"/>
    <col min="8711" max="8711" width="19.5" style="144" bestFit="1" customWidth="1"/>
    <col min="8712" max="8712" width="20.625" style="144" bestFit="1" customWidth="1"/>
    <col min="8713" max="8713" width="16.125" style="144" bestFit="1" customWidth="1"/>
    <col min="8714" max="8714" width="16.625" style="144" bestFit="1" customWidth="1"/>
    <col min="8715" max="8715" width="19.875" style="144" bestFit="1" customWidth="1"/>
    <col min="8716" max="8716" width="36.5" style="144" bestFit="1" customWidth="1"/>
    <col min="8717" max="8721" width="10.5" style="144" bestFit="1" customWidth="1"/>
    <col min="8722" max="8960" width="9.125" style="144"/>
    <col min="8961" max="8961" width="13.5" style="144" bestFit="1" customWidth="1"/>
    <col min="8962" max="8962" width="37" style="144" bestFit="1" customWidth="1"/>
    <col min="8963" max="8963" width="12" style="144" bestFit="1" customWidth="1"/>
    <col min="8964" max="8964" width="22.625" style="144" bestFit="1" customWidth="1"/>
    <col min="8965" max="8965" width="16.5" style="144" bestFit="1" customWidth="1"/>
    <col min="8966" max="8966" width="17.625" style="144" bestFit="1" customWidth="1"/>
    <col min="8967" max="8967" width="19.5" style="144" bestFit="1" customWidth="1"/>
    <col min="8968" max="8968" width="20.625" style="144" bestFit="1" customWidth="1"/>
    <col min="8969" max="8969" width="16.125" style="144" bestFit="1" customWidth="1"/>
    <col min="8970" max="8970" width="16.625" style="144" bestFit="1" customWidth="1"/>
    <col min="8971" max="8971" width="19.875" style="144" bestFit="1" customWidth="1"/>
    <col min="8972" max="8972" width="36.5" style="144" bestFit="1" customWidth="1"/>
    <col min="8973" max="8977" width="10.5" style="144" bestFit="1" customWidth="1"/>
    <col min="8978" max="9216" width="9.125" style="144"/>
    <col min="9217" max="9217" width="13.5" style="144" bestFit="1" customWidth="1"/>
    <col min="9218" max="9218" width="37" style="144" bestFit="1" customWidth="1"/>
    <col min="9219" max="9219" width="12" style="144" bestFit="1" customWidth="1"/>
    <col min="9220" max="9220" width="22.625" style="144" bestFit="1" customWidth="1"/>
    <col min="9221" max="9221" width="16.5" style="144" bestFit="1" customWidth="1"/>
    <col min="9222" max="9222" width="17.625" style="144" bestFit="1" customWidth="1"/>
    <col min="9223" max="9223" width="19.5" style="144" bestFit="1" customWidth="1"/>
    <col min="9224" max="9224" width="20.625" style="144" bestFit="1" customWidth="1"/>
    <col min="9225" max="9225" width="16.125" style="144" bestFit="1" customWidth="1"/>
    <col min="9226" max="9226" width="16.625" style="144" bestFit="1" customWidth="1"/>
    <col min="9227" max="9227" width="19.875" style="144" bestFit="1" customWidth="1"/>
    <col min="9228" max="9228" width="36.5" style="144" bestFit="1" customWidth="1"/>
    <col min="9229" max="9233" width="10.5" style="144" bestFit="1" customWidth="1"/>
    <col min="9234" max="9472" width="9.125" style="144"/>
    <col min="9473" max="9473" width="13.5" style="144" bestFit="1" customWidth="1"/>
    <col min="9474" max="9474" width="37" style="144" bestFit="1" customWidth="1"/>
    <col min="9475" max="9475" width="12" style="144" bestFit="1" customWidth="1"/>
    <col min="9476" max="9476" width="22.625" style="144" bestFit="1" customWidth="1"/>
    <col min="9477" max="9477" width="16.5" style="144" bestFit="1" customWidth="1"/>
    <col min="9478" max="9478" width="17.625" style="144" bestFit="1" customWidth="1"/>
    <col min="9479" max="9479" width="19.5" style="144" bestFit="1" customWidth="1"/>
    <col min="9480" max="9480" width="20.625" style="144" bestFit="1" customWidth="1"/>
    <col min="9481" max="9481" width="16.125" style="144" bestFit="1" customWidth="1"/>
    <col min="9482" max="9482" width="16.625" style="144" bestFit="1" customWidth="1"/>
    <col min="9483" max="9483" width="19.875" style="144" bestFit="1" customWidth="1"/>
    <col min="9484" max="9484" width="36.5" style="144" bestFit="1" customWidth="1"/>
    <col min="9485" max="9489" width="10.5" style="144" bestFit="1" customWidth="1"/>
    <col min="9490" max="9728" width="9.125" style="144"/>
    <col min="9729" max="9729" width="13.5" style="144" bestFit="1" customWidth="1"/>
    <col min="9730" max="9730" width="37" style="144" bestFit="1" customWidth="1"/>
    <col min="9731" max="9731" width="12" style="144" bestFit="1" customWidth="1"/>
    <col min="9732" max="9732" width="22.625" style="144" bestFit="1" customWidth="1"/>
    <col min="9733" max="9733" width="16.5" style="144" bestFit="1" customWidth="1"/>
    <col min="9734" max="9734" width="17.625" style="144" bestFit="1" customWidth="1"/>
    <col min="9735" max="9735" width="19.5" style="144" bestFit="1" customWidth="1"/>
    <col min="9736" max="9736" width="20.625" style="144" bestFit="1" customWidth="1"/>
    <col min="9737" max="9737" width="16.125" style="144" bestFit="1" customWidth="1"/>
    <col min="9738" max="9738" width="16.625" style="144" bestFit="1" customWidth="1"/>
    <col min="9739" max="9739" width="19.875" style="144" bestFit="1" customWidth="1"/>
    <col min="9740" max="9740" width="36.5" style="144" bestFit="1" customWidth="1"/>
    <col min="9741" max="9745" width="10.5" style="144" bestFit="1" customWidth="1"/>
    <col min="9746" max="9984" width="9.125" style="144"/>
    <col min="9985" max="9985" width="13.5" style="144" bestFit="1" customWidth="1"/>
    <col min="9986" max="9986" width="37" style="144" bestFit="1" customWidth="1"/>
    <col min="9987" max="9987" width="12" style="144" bestFit="1" customWidth="1"/>
    <col min="9988" max="9988" width="22.625" style="144" bestFit="1" customWidth="1"/>
    <col min="9989" max="9989" width="16.5" style="144" bestFit="1" customWidth="1"/>
    <col min="9990" max="9990" width="17.625" style="144" bestFit="1" customWidth="1"/>
    <col min="9991" max="9991" width="19.5" style="144" bestFit="1" customWidth="1"/>
    <col min="9992" max="9992" width="20.625" style="144" bestFit="1" customWidth="1"/>
    <col min="9993" max="9993" width="16.125" style="144" bestFit="1" customWidth="1"/>
    <col min="9994" max="9994" width="16.625" style="144" bestFit="1" customWidth="1"/>
    <col min="9995" max="9995" width="19.875" style="144" bestFit="1" customWidth="1"/>
    <col min="9996" max="9996" width="36.5" style="144" bestFit="1" customWidth="1"/>
    <col min="9997" max="10001" width="10.5" style="144" bestFit="1" customWidth="1"/>
    <col min="10002" max="10240" width="9.125" style="144"/>
    <col min="10241" max="10241" width="13.5" style="144" bestFit="1" customWidth="1"/>
    <col min="10242" max="10242" width="37" style="144" bestFit="1" customWidth="1"/>
    <col min="10243" max="10243" width="12" style="144" bestFit="1" customWidth="1"/>
    <col min="10244" max="10244" width="22.625" style="144" bestFit="1" customWidth="1"/>
    <col min="10245" max="10245" width="16.5" style="144" bestFit="1" customWidth="1"/>
    <col min="10246" max="10246" width="17.625" style="144" bestFit="1" customWidth="1"/>
    <col min="10247" max="10247" width="19.5" style="144" bestFit="1" customWidth="1"/>
    <col min="10248" max="10248" width="20.625" style="144" bestFit="1" customWidth="1"/>
    <col min="10249" max="10249" width="16.125" style="144" bestFit="1" customWidth="1"/>
    <col min="10250" max="10250" width="16.625" style="144" bestFit="1" customWidth="1"/>
    <col min="10251" max="10251" width="19.875" style="144" bestFit="1" customWidth="1"/>
    <col min="10252" max="10252" width="36.5" style="144" bestFit="1" customWidth="1"/>
    <col min="10253" max="10257" width="10.5" style="144" bestFit="1" customWidth="1"/>
    <col min="10258" max="10496" width="9.125" style="144"/>
    <col min="10497" max="10497" width="13.5" style="144" bestFit="1" customWidth="1"/>
    <col min="10498" max="10498" width="37" style="144" bestFit="1" customWidth="1"/>
    <col min="10499" max="10499" width="12" style="144" bestFit="1" customWidth="1"/>
    <col min="10500" max="10500" width="22.625" style="144" bestFit="1" customWidth="1"/>
    <col min="10501" max="10501" width="16.5" style="144" bestFit="1" customWidth="1"/>
    <col min="10502" max="10502" width="17.625" style="144" bestFit="1" customWidth="1"/>
    <col min="10503" max="10503" width="19.5" style="144" bestFit="1" customWidth="1"/>
    <col min="10504" max="10504" width="20.625" style="144" bestFit="1" customWidth="1"/>
    <col min="10505" max="10505" width="16.125" style="144" bestFit="1" customWidth="1"/>
    <col min="10506" max="10506" width="16.625" style="144" bestFit="1" customWidth="1"/>
    <col min="10507" max="10507" width="19.875" style="144" bestFit="1" customWidth="1"/>
    <col min="10508" max="10508" width="36.5" style="144" bestFit="1" customWidth="1"/>
    <col min="10509" max="10513" width="10.5" style="144" bestFit="1" customWidth="1"/>
    <col min="10514" max="10752" width="9.125" style="144"/>
    <col min="10753" max="10753" width="13.5" style="144" bestFit="1" customWidth="1"/>
    <col min="10754" max="10754" width="37" style="144" bestFit="1" customWidth="1"/>
    <col min="10755" max="10755" width="12" style="144" bestFit="1" customWidth="1"/>
    <col min="10756" max="10756" width="22.625" style="144" bestFit="1" customWidth="1"/>
    <col min="10757" max="10757" width="16.5" style="144" bestFit="1" customWidth="1"/>
    <col min="10758" max="10758" width="17.625" style="144" bestFit="1" customWidth="1"/>
    <col min="10759" max="10759" width="19.5" style="144" bestFit="1" customWidth="1"/>
    <col min="10760" max="10760" width="20.625" style="144" bestFit="1" customWidth="1"/>
    <col min="10761" max="10761" width="16.125" style="144" bestFit="1" customWidth="1"/>
    <col min="10762" max="10762" width="16.625" style="144" bestFit="1" customWidth="1"/>
    <col min="10763" max="10763" width="19.875" style="144" bestFit="1" customWidth="1"/>
    <col min="10764" max="10764" width="36.5" style="144" bestFit="1" customWidth="1"/>
    <col min="10765" max="10769" width="10.5" style="144" bestFit="1" customWidth="1"/>
    <col min="10770" max="11008" width="9.125" style="144"/>
    <col min="11009" max="11009" width="13.5" style="144" bestFit="1" customWidth="1"/>
    <col min="11010" max="11010" width="37" style="144" bestFit="1" customWidth="1"/>
    <col min="11011" max="11011" width="12" style="144" bestFit="1" customWidth="1"/>
    <col min="11012" max="11012" width="22.625" style="144" bestFit="1" customWidth="1"/>
    <col min="11013" max="11013" width="16.5" style="144" bestFit="1" customWidth="1"/>
    <col min="11014" max="11014" width="17.625" style="144" bestFit="1" customWidth="1"/>
    <col min="11015" max="11015" width="19.5" style="144" bestFit="1" customWidth="1"/>
    <col min="11016" max="11016" width="20.625" style="144" bestFit="1" customWidth="1"/>
    <col min="11017" max="11017" width="16.125" style="144" bestFit="1" customWidth="1"/>
    <col min="11018" max="11018" width="16.625" style="144" bestFit="1" customWidth="1"/>
    <col min="11019" max="11019" width="19.875" style="144" bestFit="1" customWidth="1"/>
    <col min="11020" max="11020" width="36.5" style="144" bestFit="1" customWidth="1"/>
    <col min="11021" max="11025" width="10.5" style="144" bestFit="1" customWidth="1"/>
    <col min="11026" max="11264" width="9.125" style="144"/>
    <col min="11265" max="11265" width="13.5" style="144" bestFit="1" customWidth="1"/>
    <col min="11266" max="11266" width="37" style="144" bestFit="1" customWidth="1"/>
    <col min="11267" max="11267" width="12" style="144" bestFit="1" customWidth="1"/>
    <col min="11268" max="11268" width="22.625" style="144" bestFit="1" customWidth="1"/>
    <col min="11269" max="11269" width="16.5" style="144" bestFit="1" customWidth="1"/>
    <col min="11270" max="11270" width="17.625" style="144" bestFit="1" customWidth="1"/>
    <col min="11271" max="11271" width="19.5" style="144" bestFit="1" customWidth="1"/>
    <col min="11272" max="11272" width="20.625" style="144" bestFit="1" customWidth="1"/>
    <col min="11273" max="11273" width="16.125" style="144" bestFit="1" customWidth="1"/>
    <col min="11274" max="11274" width="16.625" style="144" bestFit="1" customWidth="1"/>
    <col min="11275" max="11275" width="19.875" style="144" bestFit="1" customWidth="1"/>
    <col min="11276" max="11276" width="36.5" style="144" bestFit="1" customWidth="1"/>
    <col min="11277" max="11281" width="10.5" style="144" bestFit="1" customWidth="1"/>
    <col min="11282" max="11520" width="9.125" style="144"/>
    <col min="11521" max="11521" width="13.5" style="144" bestFit="1" customWidth="1"/>
    <col min="11522" max="11522" width="37" style="144" bestFit="1" customWidth="1"/>
    <col min="11523" max="11523" width="12" style="144" bestFit="1" customWidth="1"/>
    <col min="11524" max="11524" width="22.625" style="144" bestFit="1" customWidth="1"/>
    <col min="11525" max="11525" width="16.5" style="144" bestFit="1" customWidth="1"/>
    <col min="11526" max="11526" width="17.625" style="144" bestFit="1" customWidth="1"/>
    <col min="11527" max="11527" width="19.5" style="144" bestFit="1" customWidth="1"/>
    <col min="11528" max="11528" width="20.625" style="144" bestFit="1" customWidth="1"/>
    <col min="11529" max="11529" width="16.125" style="144" bestFit="1" customWidth="1"/>
    <col min="11530" max="11530" width="16.625" style="144" bestFit="1" customWidth="1"/>
    <col min="11531" max="11531" width="19.875" style="144" bestFit="1" customWidth="1"/>
    <col min="11532" max="11532" width="36.5" style="144" bestFit="1" customWidth="1"/>
    <col min="11533" max="11537" width="10.5" style="144" bestFit="1" customWidth="1"/>
    <col min="11538" max="11776" width="9.125" style="144"/>
    <col min="11777" max="11777" width="13.5" style="144" bestFit="1" customWidth="1"/>
    <col min="11778" max="11778" width="37" style="144" bestFit="1" customWidth="1"/>
    <col min="11779" max="11779" width="12" style="144" bestFit="1" customWidth="1"/>
    <col min="11780" max="11780" width="22.625" style="144" bestFit="1" customWidth="1"/>
    <col min="11781" max="11781" width="16.5" style="144" bestFit="1" customWidth="1"/>
    <col min="11782" max="11782" width="17.625" style="144" bestFit="1" customWidth="1"/>
    <col min="11783" max="11783" width="19.5" style="144" bestFit="1" customWidth="1"/>
    <col min="11784" max="11784" width="20.625" style="144" bestFit="1" customWidth="1"/>
    <col min="11785" max="11785" width="16.125" style="144" bestFit="1" customWidth="1"/>
    <col min="11786" max="11786" width="16.625" style="144" bestFit="1" customWidth="1"/>
    <col min="11787" max="11787" width="19.875" style="144" bestFit="1" customWidth="1"/>
    <col min="11788" max="11788" width="36.5" style="144" bestFit="1" customWidth="1"/>
    <col min="11789" max="11793" width="10.5" style="144" bestFit="1" customWidth="1"/>
    <col min="11794" max="12032" width="9.125" style="144"/>
    <col min="12033" max="12033" width="13.5" style="144" bestFit="1" customWidth="1"/>
    <col min="12034" max="12034" width="37" style="144" bestFit="1" customWidth="1"/>
    <col min="12035" max="12035" width="12" style="144" bestFit="1" customWidth="1"/>
    <col min="12036" max="12036" width="22.625" style="144" bestFit="1" customWidth="1"/>
    <col min="12037" max="12037" width="16.5" style="144" bestFit="1" customWidth="1"/>
    <col min="12038" max="12038" width="17.625" style="144" bestFit="1" customWidth="1"/>
    <col min="12039" max="12039" width="19.5" style="144" bestFit="1" customWidth="1"/>
    <col min="12040" max="12040" width="20.625" style="144" bestFit="1" customWidth="1"/>
    <col min="12041" max="12041" width="16.125" style="144" bestFit="1" customWidth="1"/>
    <col min="12042" max="12042" width="16.625" style="144" bestFit="1" customWidth="1"/>
    <col min="12043" max="12043" width="19.875" style="144" bestFit="1" customWidth="1"/>
    <col min="12044" max="12044" width="36.5" style="144" bestFit="1" customWidth="1"/>
    <col min="12045" max="12049" width="10.5" style="144" bestFit="1" customWidth="1"/>
    <col min="12050" max="12288" width="9.125" style="144"/>
    <col min="12289" max="12289" width="13.5" style="144" bestFit="1" customWidth="1"/>
    <col min="12290" max="12290" width="37" style="144" bestFit="1" customWidth="1"/>
    <col min="12291" max="12291" width="12" style="144" bestFit="1" customWidth="1"/>
    <col min="12292" max="12292" width="22.625" style="144" bestFit="1" customWidth="1"/>
    <col min="12293" max="12293" width="16.5" style="144" bestFit="1" customWidth="1"/>
    <col min="12294" max="12294" width="17.625" style="144" bestFit="1" customWidth="1"/>
    <col min="12295" max="12295" width="19.5" style="144" bestFit="1" customWidth="1"/>
    <col min="12296" max="12296" width="20.625" style="144" bestFit="1" customWidth="1"/>
    <col min="12297" max="12297" width="16.125" style="144" bestFit="1" customWidth="1"/>
    <col min="12298" max="12298" width="16.625" style="144" bestFit="1" customWidth="1"/>
    <col min="12299" max="12299" width="19.875" style="144" bestFit="1" customWidth="1"/>
    <col min="12300" max="12300" width="36.5" style="144" bestFit="1" customWidth="1"/>
    <col min="12301" max="12305" width="10.5" style="144" bestFit="1" customWidth="1"/>
    <col min="12306" max="12544" width="9.125" style="144"/>
    <col min="12545" max="12545" width="13.5" style="144" bestFit="1" customWidth="1"/>
    <col min="12546" max="12546" width="37" style="144" bestFit="1" customWidth="1"/>
    <col min="12547" max="12547" width="12" style="144" bestFit="1" customWidth="1"/>
    <col min="12548" max="12548" width="22.625" style="144" bestFit="1" customWidth="1"/>
    <col min="12549" max="12549" width="16.5" style="144" bestFit="1" customWidth="1"/>
    <col min="12550" max="12550" width="17.625" style="144" bestFit="1" customWidth="1"/>
    <col min="12551" max="12551" width="19.5" style="144" bestFit="1" customWidth="1"/>
    <col min="12552" max="12552" width="20.625" style="144" bestFit="1" customWidth="1"/>
    <col min="12553" max="12553" width="16.125" style="144" bestFit="1" customWidth="1"/>
    <col min="12554" max="12554" width="16.625" style="144" bestFit="1" customWidth="1"/>
    <col min="12555" max="12555" width="19.875" style="144" bestFit="1" customWidth="1"/>
    <col min="12556" max="12556" width="36.5" style="144" bestFit="1" customWidth="1"/>
    <col min="12557" max="12561" width="10.5" style="144" bestFit="1" customWidth="1"/>
    <col min="12562" max="12800" width="9.125" style="144"/>
    <col min="12801" max="12801" width="13.5" style="144" bestFit="1" customWidth="1"/>
    <col min="12802" max="12802" width="37" style="144" bestFit="1" customWidth="1"/>
    <col min="12803" max="12803" width="12" style="144" bestFit="1" customWidth="1"/>
    <col min="12804" max="12804" width="22.625" style="144" bestFit="1" customWidth="1"/>
    <col min="12805" max="12805" width="16.5" style="144" bestFit="1" customWidth="1"/>
    <col min="12806" max="12806" width="17.625" style="144" bestFit="1" customWidth="1"/>
    <col min="12807" max="12807" width="19.5" style="144" bestFit="1" customWidth="1"/>
    <col min="12808" max="12808" width="20.625" style="144" bestFit="1" customWidth="1"/>
    <col min="12809" max="12809" width="16.125" style="144" bestFit="1" customWidth="1"/>
    <col min="12810" max="12810" width="16.625" style="144" bestFit="1" customWidth="1"/>
    <col min="12811" max="12811" width="19.875" style="144" bestFit="1" customWidth="1"/>
    <col min="12812" max="12812" width="36.5" style="144" bestFit="1" customWidth="1"/>
    <col min="12813" max="12817" width="10.5" style="144" bestFit="1" customWidth="1"/>
    <col min="12818" max="13056" width="9.125" style="144"/>
    <col min="13057" max="13057" width="13.5" style="144" bestFit="1" customWidth="1"/>
    <col min="13058" max="13058" width="37" style="144" bestFit="1" customWidth="1"/>
    <col min="13059" max="13059" width="12" style="144" bestFit="1" customWidth="1"/>
    <col min="13060" max="13060" width="22.625" style="144" bestFit="1" customWidth="1"/>
    <col min="13061" max="13061" width="16.5" style="144" bestFit="1" customWidth="1"/>
    <col min="13062" max="13062" width="17.625" style="144" bestFit="1" customWidth="1"/>
    <col min="13063" max="13063" width="19.5" style="144" bestFit="1" customWidth="1"/>
    <col min="13064" max="13064" width="20.625" style="144" bestFit="1" customWidth="1"/>
    <col min="13065" max="13065" width="16.125" style="144" bestFit="1" customWidth="1"/>
    <col min="13066" max="13066" width="16.625" style="144" bestFit="1" customWidth="1"/>
    <col min="13067" max="13067" width="19.875" style="144" bestFit="1" customWidth="1"/>
    <col min="13068" max="13068" width="36.5" style="144" bestFit="1" customWidth="1"/>
    <col min="13069" max="13073" width="10.5" style="144" bestFit="1" customWidth="1"/>
    <col min="13074" max="13312" width="9.125" style="144"/>
    <col min="13313" max="13313" width="13.5" style="144" bestFit="1" customWidth="1"/>
    <col min="13314" max="13314" width="37" style="144" bestFit="1" customWidth="1"/>
    <col min="13315" max="13315" width="12" style="144" bestFit="1" customWidth="1"/>
    <col min="13316" max="13316" width="22.625" style="144" bestFit="1" customWidth="1"/>
    <col min="13317" max="13317" width="16.5" style="144" bestFit="1" customWidth="1"/>
    <col min="13318" max="13318" width="17.625" style="144" bestFit="1" customWidth="1"/>
    <col min="13319" max="13319" width="19.5" style="144" bestFit="1" customWidth="1"/>
    <col min="13320" max="13320" width="20.625" style="144" bestFit="1" customWidth="1"/>
    <col min="13321" max="13321" width="16.125" style="144" bestFit="1" customWidth="1"/>
    <col min="13322" max="13322" width="16.625" style="144" bestFit="1" customWidth="1"/>
    <col min="13323" max="13323" width="19.875" style="144" bestFit="1" customWidth="1"/>
    <col min="13324" max="13324" width="36.5" style="144" bestFit="1" customWidth="1"/>
    <col min="13325" max="13329" width="10.5" style="144" bestFit="1" customWidth="1"/>
    <col min="13330" max="13568" width="9.125" style="144"/>
    <col min="13569" max="13569" width="13.5" style="144" bestFit="1" customWidth="1"/>
    <col min="13570" max="13570" width="37" style="144" bestFit="1" customWidth="1"/>
    <col min="13571" max="13571" width="12" style="144" bestFit="1" customWidth="1"/>
    <col min="13572" max="13572" width="22.625" style="144" bestFit="1" customWidth="1"/>
    <col min="13573" max="13573" width="16.5" style="144" bestFit="1" customWidth="1"/>
    <col min="13574" max="13574" width="17.625" style="144" bestFit="1" customWidth="1"/>
    <col min="13575" max="13575" width="19.5" style="144" bestFit="1" customWidth="1"/>
    <col min="13576" max="13576" width="20.625" style="144" bestFit="1" customWidth="1"/>
    <col min="13577" max="13577" width="16.125" style="144" bestFit="1" customWidth="1"/>
    <col min="13578" max="13578" width="16.625" style="144" bestFit="1" customWidth="1"/>
    <col min="13579" max="13579" width="19.875" style="144" bestFit="1" customWidth="1"/>
    <col min="13580" max="13580" width="36.5" style="144" bestFit="1" customWidth="1"/>
    <col min="13581" max="13585" width="10.5" style="144" bestFit="1" customWidth="1"/>
    <col min="13586" max="13824" width="9.125" style="144"/>
    <col min="13825" max="13825" width="13.5" style="144" bestFit="1" customWidth="1"/>
    <col min="13826" max="13826" width="37" style="144" bestFit="1" customWidth="1"/>
    <col min="13827" max="13827" width="12" style="144" bestFit="1" customWidth="1"/>
    <col min="13828" max="13828" width="22.625" style="144" bestFit="1" customWidth="1"/>
    <col min="13829" max="13829" width="16.5" style="144" bestFit="1" customWidth="1"/>
    <col min="13830" max="13830" width="17.625" style="144" bestFit="1" customWidth="1"/>
    <col min="13831" max="13831" width="19.5" style="144" bestFit="1" customWidth="1"/>
    <col min="13832" max="13832" width="20.625" style="144" bestFit="1" customWidth="1"/>
    <col min="13833" max="13833" width="16.125" style="144" bestFit="1" customWidth="1"/>
    <col min="13834" max="13834" width="16.625" style="144" bestFit="1" customWidth="1"/>
    <col min="13835" max="13835" width="19.875" style="144" bestFit="1" customWidth="1"/>
    <col min="13836" max="13836" width="36.5" style="144" bestFit="1" customWidth="1"/>
    <col min="13837" max="13841" width="10.5" style="144" bestFit="1" customWidth="1"/>
    <col min="13842" max="14080" width="9.125" style="144"/>
    <col min="14081" max="14081" width="13.5" style="144" bestFit="1" customWidth="1"/>
    <col min="14082" max="14082" width="37" style="144" bestFit="1" customWidth="1"/>
    <col min="14083" max="14083" width="12" style="144" bestFit="1" customWidth="1"/>
    <col min="14084" max="14084" width="22.625" style="144" bestFit="1" customWidth="1"/>
    <col min="14085" max="14085" width="16.5" style="144" bestFit="1" customWidth="1"/>
    <col min="14086" max="14086" width="17.625" style="144" bestFit="1" customWidth="1"/>
    <col min="14087" max="14087" width="19.5" style="144" bestFit="1" customWidth="1"/>
    <col min="14088" max="14088" width="20.625" style="144" bestFit="1" customWidth="1"/>
    <col min="14089" max="14089" width="16.125" style="144" bestFit="1" customWidth="1"/>
    <col min="14090" max="14090" width="16.625" style="144" bestFit="1" customWidth="1"/>
    <col min="14091" max="14091" width="19.875" style="144" bestFit="1" customWidth="1"/>
    <col min="14092" max="14092" width="36.5" style="144" bestFit="1" customWidth="1"/>
    <col min="14093" max="14097" width="10.5" style="144" bestFit="1" customWidth="1"/>
    <col min="14098" max="14336" width="9.125" style="144"/>
    <col min="14337" max="14337" width="13.5" style="144" bestFit="1" customWidth="1"/>
    <col min="14338" max="14338" width="37" style="144" bestFit="1" customWidth="1"/>
    <col min="14339" max="14339" width="12" style="144" bestFit="1" customWidth="1"/>
    <col min="14340" max="14340" width="22.625" style="144" bestFit="1" customWidth="1"/>
    <col min="14341" max="14341" width="16.5" style="144" bestFit="1" customWidth="1"/>
    <col min="14342" max="14342" width="17.625" style="144" bestFit="1" customWidth="1"/>
    <col min="14343" max="14343" width="19.5" style="144" bestFit="1" customWidth="1"/>
    <col min="14344" max="14344" width="20.625" style="144" bestFit="1" customWidth="1"/>
    <col min="14345" max="14345" width="16.125" style="144" bestFit="1" customWidth="1"/>
    <col min="14346" max="14346" width="16.625" style="144" bestFit="1" customWidth="1"/>
    <col min="14347" max="14347" width="19.875" style="144" bestFit="1" customWidth="1"/>
    <col min="14348" max="14348" width="36.5" style="144" bestFit="1" customWidth="1"/>
    <col min="14349" max="14353" width="10.5" style="144" bestFit="1" customWidth="1"/>
    <col min="14354" max="14592" width="9.125" style="144"/>
    <col min="14593" max="14593" width="13.5" style="144" bestFit="1" customWidth="1"/>
    <col min="14594" max="14594" width="37" style="144" bestFit="1" customWidth="1"/>
    <col min="14595" max="14595" width="12" style="144" bestFit="1" customWidth="1"/>
    <col min="14596" max="14596" width="22.625" style="144" bestFit="1" customWidth="1"/>
    <col min="14597" max="14597" width="16.5" style="144" bestFit="1" customWidth="1"/>
    <col min="14598" max="14598" width="17.625" style="144" bestFit="1" customWidth="1"/>
    <col min="14599" max="14599" width="19.5" style="144" bestFit="1" customWidth="1"/>
    <col min="14600" max="14600" width="20.625" style="144" bestFit="1" customWidth="1"/>
    <col min="14601" max="14601" width="16.125" style="144" bestFit="1" customWidth="1"/>
    <col min="14602" max="14602" width="16.625" style="144" bestFit="1" customWidth="1"/>
    <col min="14603" max="14603" width="19.875" style="144" bestFit="1" customWidth="1"/>
    <col min="14604" max="14604" width="36.5" style="144" bestFit="1" customWidth="1"/>
    <col min="14605" max="14609" width="10.5" style="144" bestFit="1" customWidth="1"/>
    <col min="14610" max="14848" width="9.125" style="144"/>
    <col min="14849" max="14849" width="13.5" style="144" bestFit="1" customWidth="1"/>
    <col min="14850" max="14850" width="37" style="144" bestFit="1" customWidth="1"/>
    <col min="14851" max="14851" width="12" style="144" bestFit="1" customWidth="1"/>
    <col min="14852" max="14852" width="22.625" style="144" bestFit="1" customWidth="1"/>
    <col min="14853" max="14853" width="16.5" style="144" bestFit="1" customWidth="1"/>
    <col min="14854" max="14854" width="17.625" style="144" bestFit="1" customWidth="1"/>
    <col min="14855" max="14855" width="19.5" style="144" bestFit="1" customWidth="1"/>
    <col min="14856" max="14856" width="20.625" style="144" bestFit="1" customWidth="1"/>
    <col min="14857" max="14857" width="16.125" style="144" bestFit="1" customWidth="1"/>
    <col min="14858" max="14858" width="16.625" style="144" bestFit="1" customWidth="1"/>
    <col min="14859" max="14859" width="19.875" style="144" bestFit="1" customWidth="1"/>
    <col min="14860" max="14860" width="36.5" style="144" bestFit="1" customWidth="1"/>
    <col min="14861" max="14865" width="10.5" style="144" bestFit="1" customWidth="1"/>
    <col min="14866" max="15104" width="9.125" style="144"/>
    <col min="15105" max="15105" width="13.5" style="144" bestFit="1" customWidth="1"/>
    <col min="15106" max="15106" width="37" style="144" bestFit="1" customWidth="1"/>
    <col min="15107" max="15107" width="12" style="144" bestFit="1" customWidth="1"/>
    <col min="15108" max="15108" width="22.625" style="144" bestFit="1" customWidth="1"/>
    <col min="15109" max="15109" width="16.5" style="144" bestFit="1" customWidth="1"/>
    <col min="15110" max="15110" width="17.625" style="144" bestFit="1" customWidth="1"/>
    <col min="15111" max="15111" width="19.5" style="144" bestFit="1" customWidth="1"/>
    <col min="15112" max="15112" width="20.625" style="144" bestFit="1" customWidth="1"/>
    <col min="15113" max="15113" width="16.125" style="144" bestFit="1" customWidth="1"/>
    <col min="15114" max="15114" width="16.625" style="144" bestFit="1" customWidth="1"/>
    <col min="15115" max="15115" width="19.875" style="144" bestFit="1" customWidth="1"/>
    <col min="15116" max="15116" width="36.5" style="144" bestFit="1" customWidth="1"/>
    <col min="15117" max="15121" width="10.5" style="144" bestFit="1" customWidth="1"/>
    <col min="15122" max="15360" width="9.125" style="144"/>
    <col min="15361" max="15361" width="13.5" style="144" bestFit="1" customWidth="1"/>
    <col min="15362" max="15362" width="37" style="144" bestFit="1" customWidth="1"/>
    <col min="15363" max="15363" width="12" style="144" bestFit="1" customWidth="1"/>
    <col min="15364" max="15364" width="22.625" style="144" bestFit="1" customWidth="1"/>
    <col min="15365" max="15365" width="16.5" style="144" bestFit="1" customWidth="1"/>
    <col min="15366" max="15366" width="17.625" style="144" bestFit="1" customWidth="1"/>
    <col min="15367" max="15367" width="19.5" style="144" bestFit="1" customWidth="1"/>
    <col min="15368" max="15368" width="20.625" style="144" bestFit="1" customWidth="1"/>
    <col min="15369" max="15369" width="16.125" style="144" bestFit="1" customWidth="1"/>
    <col min="15370" max="15370" width="16.625" style="144" bestFit="1" customWidth="1"/>
    <col min="15371" max="15371" width="19.875" style="144" bestFit="1" customWidth="1"/>
    <col min="15372" max="15372" width="36.5" style="144" bestFit="1" customWidth="1"/>
    <col min="15373" max="15377" width="10.5" style="144" bestFit="1" customWidth="1"/>
    <col min="15378" max="15616" width="9.125" style="144"/>
    <col min="15617" max="15617" width="13.5" style="144" bestFit="1" customWidth="1"/>
    <col min="15618" max="15618" width="37" style="144" bestFit="1" customWidth="1"/>
    <col min="15619" max="15619" width="12" style="144" bestFit="1" customWidth="1"/>
    <col min="15620" max="15620" width="22.625" style="144" bestFit="1" customWidth="1"/>
    <col min="15621" max="15621" width="16.5" style="144" bestFit="1" customWidth="1"/>
    <col min="15622" max="15622" width="17.625" style="144" bestFit="1" customWidth="1"/>
    <col min="15623" max="15623" width="19.5" style="144" bestFit="1" customWidth="1"/>
    <col min="15624" max="15624" width="20.625" style="144" bestFit="1" customWidth="1"/>
    <col min="15625" max="15625" width="16.125" style="144" bestFit="1" customWidth="1"/>
    <col min="15626" max="15626" width="16.625" style="144" bestFit="1" customWidth="1"/>
    <col min="15627" max="15627" width="19.875" style="144" bestFit="1" customWidth="1"/>
    <col min="15628" max="15628" width="36.5" style="144" bestFit="1" customWidth="1"/>
    <col min="15629" max="15633" width="10.5" style="144" bestFit="1" customWidth="1"/>
    <col min="15634" max="15872" width="9.125" style="144"/>
    <col min="15873" max="15873" width="13.5" style="144" bestFit="1" customWidth="1"/>
    <col min="15874" max="15874" width="37" style="144" bestFit="1" customWidth="1"/>
    <col min="15875" max="15875" width="12" style="144" bestFit="1" customWidth="1"/>
    <col min="15876" max="15876" width="22.625" style="144" bestFit="1" customWidth="1"/>
    <col min="15877" max="15877" width="16.5" style="144" bestFit="1" customWidth="1"/>
    <col min="15878" max="15878" width="17.625" style="144" bestFit="1" customWidth="1"/>
    <col min="15879" max="15879" width="19.5" style="144" bestFit="1" customWidth="1"/>
    <col min="15880" max="15880" width="20.625" style="144" bestFit="1" customWidth="1"/>
    <col min="15881" max="15881" width="16.125" style="144" bestFit="1" customWidth="1"/>
    <col min="15882" max="15882" width="16.625" style="144" bestFit="1" customWidth="1"/>
    <col min="15883" max="15883" width="19.875" style="144" bestFit="1" customWidth="1"/>
    <col min="15884" max="15884" width="36.5" style="144" bestFit="1" customWidth="1"/>
    <col min="15885" max="15889" width="10.5" style="144" bestFit="1" customWidth="1"/>
    <col min="15890" max="16128" width="9.125" style="144"/>
    <col min="16129" max="16129" width="13.5" style="144" bestFit="1" customWidth="1"/>
    <col min="16130" max="16130" width="37" style="144" bestFit="1" customWidth="1"/>
    <col min="16131" max="16131" width="12" style="144" bestFit="1" customWidth="1"/>
    <col min="16132" max="16132" width="22.625" style="144" bestFit="1" customWidth="1"/>
    <col min="16133" max="16133" width="16.5" style="144" bestFit="1" customWidth="1"/>
    <col min="16134" max="16134" width="17.625" style="144" bestFit="1" customWidth="1"/>
    <col min="16135" max="16135" width="19.5" style="144" bestFit="1" customWidth="1"/>
    <col min="16136" max="16136" width="20.625" style="144" bestFit="1" customWidth="1"/>
    <col min="16137" max="16137" width="16.125" style="144" bestFit="1" customWidth="1"/>
    <col min="16138" max="16138" width="16.625" style="144" bestFit="1" customWidth="1"/>
    <col min="16139" max="16139" width="19.875" style="144" bestFit="1" customWidth="1"/>
    <col min="16140" max="16140" width="36.5" style="144" bestFit="1" customWidth="1"/>
    <col min="16141" max="16145" width="10.5" style="144" bestFit="1" customWidth="1"/>
    <col min="16146" max="16384" width="9.125" style="144"/>
  </cols>
  <sheetData>
    <row r="1" spans="1:11" s="135" customFormat="1" ht="23.25" customHeight="1">
      <c r="A1" s="134"/>
      <c r="B1" s="134"/>
      <c r="C1" s="134"/>
      <c r="D1" s="134"/>
      <c r="E1" s="134"/>
      <c r="F1" s="134"/>
      <c r="G1" s="134"/>
      <c r="H1" s="134"/>
      <c r="I1" s="134"/>
      <c r="J1" s="134"/>
      <c r="K1" s="134"/>
    </row>
    <row r="2" spans="1:11" s="138" customFormat="1" ht="23.25" customHeight="1">
      <c r="A2" s="136" t="s">
        <v>2</v>
      </c>
      <c r="B2" s="136" t="s">
        <v>185</v>
      </c>
      <c r="C2" s="137" t="s">
        <v>239</v>
      </c>
      <c r="D2" s="137" t="s">
        <v>112</v>
      </c>
      <c r="E2" s="137" t="s">
        <v>240</v>
      </c>
      <c r="F2" s="137" t="s">
        <v>241</v>
      </c>
      <c r="G2" s="137" t="s">
        <v>162</v>
      </c>
      <c r="H2" s="137" t="s">
        <v>242</v>
      </c>
      <c r="I2" s="137" t="s">
        <v>243</v>
      </c>
      <c r="J2" s="137" t="s">
        <v>244</v>
      </c>
      <c r="K2" s="137" t="s">
        <v>245</v>
      </c>
    </row>
    <row r="3" spans="1:11" s="142" customFormat="1" ht="19.5" customHeight="1">
      <c r="A3" s="139">
        <v>1</v>
      </c>
      <c r="B3" s="140" t="s">
        <v>246</v>
      </c>
      <c r="C3" s="139" t="s">
        <v>32</v>
      </c>
      <c r="D3" s="139" t="s">
        <v>130</v>
      </c>
      <c r="E3" s="141">
        <v>40000000</v>
      </c>
      <c r="F3" s="141" t="s">
        <v>87</v>
      </c>
      <c r="G3" s="141">
        <v>8970282103</v>
      </c>
      <c r="H3" s="139" t="s">
        <v>247</v>
      </c>
      <c r="I3" s="139" t="s">
        <v>248</v>
      </c>
      <c r="J3" s="139" t="s">
        <v>249</v>
      </c>
      <c r="K3" s="140" t="s">
        <v>87</v>
      </c>
    </row>
    <row r="4" spans="1:11" ht="19.5" customHeight="1">
      <c r="A4" s="139">
        <v>2</v>
      </c>
      <c r="B4" s="140" t="s">
        <v>250</v>
      </c>
      <c r="C4" s="139" t="s">
        <v>32</v>
      </c>
      <c r="D4" s="139" t="s">
        <v>130</v>
      </c>
      <c r="E4" s="141">
        <v>501151800</v>
      </c>
      <c r="F4" s="141" t="s">
        <v>87</v>
      </c>
      <c r="G4" s="141">
        <v>8930282103</v>
      </c>
      <c r="H4" s="139" t="s">
        <v>251</v>
      </c>
      <c r="I4" s="139" t="s">
        <v>252</v>
      </c>
      <c r="J4" s="139" t="s">
        <v>249</v>
      </c>
      <c r="K4" s="140" t="s">
        <v>87</v>
      </c>
    </row>
    <row r="5" spans="1:11" ht="19.5" customHeight="1">
      <c r="A5" s="139">
        <v>3</v>
      </c>
      <c r="B5" s="140" t="s">
        <v>253</v>
      </c>
      <c r="C5" s="139" t="s">
        <v>32</v>
      </c>
      <c r="D5" s="139" t="s">
        <v>130</v>
      </c>
      <c r="E5" s="141">
        <v>127013650</v>
      </c>
      <c r="F5" s="141" t="s">
        <v>87</v>
      </c>
      <c r="G5" s="141">
        <v>8429130303</v>
      </c>
      <c r="H5" s="139" t="s">
        <v>254</v>
      </c>
      <c r="I5" s="139" t="s">
        <v>255</v>
      </c>
      <c r="J5" s="139" t="s">
        <v>249</v>
      </c>
      <c r="K5" s="140" t="s">
        <v>87</v>
      </c>
    </row>
    <row r="6" spans="1:11" ht="19.5" customHeight="1">
      <c r="A6" s="139">
        <v>4</v>
      </c>
      <c r="B6" s="140" t="s">
        <v>256</v>
      </c>
      <c r="C6" s="139" t="s">
        <v>32</v>
      </c>
      <c r="D6" s="139" t="s">
        <v>154</v>
      </c>
      <c r="E6" s="141">
        <v>1920000000</v>
      </c>
      <c r="F6" s="141" t="s">
        <v>87</v>
      </c>
      <c r="G6" s="141">
        <v>8302116653</v>
      </c>
      <c r="H6" s="139" t="s">
        <v>257</v>
      </c>
      <c r="I6" s="139" t="s">
        <v>258</v>
      </c>
      <c r="J6" s="139" t="s">
        <v>249</v>
      </c>
      <c r="K6" s="140" t="s">
        <v>87</v>
      </c>
    </row>
    <row r="7" spans="1:11" ht="19.5" customHeight="1">
      <c r="A7" s="139">
        <v>5</v>
      </c>
      <c r="B7" s="140" t="s">
        <v>259</v>
      </c>
      <c r="C7" s="139" t="s">
        <v>32</v>
      </c>
      <c r="D7" s="139" t="s">
        <v>124</v>
      </c>
      <c r="E7" s="141" t="s">
        <v>87</v>
      </c>
      <c r="F7" s="141">
        <v>200000</v>
      </c>
      <c r="G7" s="141">
        <v>6382116653</v>
      </c>
      <c r="H7" s="139" t="s">
        <v>260</v>
      </c>
      <c r="I7" s="139" t="s">
        <v>87</v>
      </c>
      <c r="J7" s="139" t="s">
        <v>249</v>
      </c>
      <c r="K7" s="140" t="s">
        <v>87</v>
      </c>
    </row>
    <row r="8" spans="1:11" ht="19.5" customHeight="1">
      <c r="A8" s="139">
        <v>6</v>
      </c>
      <c r="B8" s="140" t="s">
        <v>261</v>
      </c>
      <c r="C8" s="139" t="s">
        <v>32</v>
      </c>
      <c r="D8" s="139" t="s">
        <v>124</v>
      </c>
      <c r="E8" s="141" t="s">
        <v>87</v>
      </c>
      <c r="F8" s="141">
        <v>763</v>
      </c>
      <c r="G8" s="141">
        <v>6382316653</v>
      </c>
      <c r="H8" s="139" t="s">
        <v>262</v>
      </c>
      <c r="I8" s="139" t="s">
        <v>87</v>
      </c>
      <c r="J8" s="139" t="s">
        <v>249</v>
      </c>
      <c r="K8" s="140" t="s">
        <v>87</v>
      </c>
    </row>
    <row r="10" spans="1:11" ht="23.25" customHeight="1">
      <c r="D10" s="145" t="s">
        <v>136</v>
      </c>
      <c r="E10" s="146">
        <f>SUM(E3:E9)</f>
        <v>2588165450</v>
      </c>
      <c r="F10" s="146">
        <f>SUM(F7:F9)</f>
        <v>200763</v>
      </c>
    </row>
    <row r="12" spans="1:11" ht="23.25" customHeight="1">
      <c r="D12" s="147" t="s">
        <v>130</v>
      </c>
      <c r="E12" s="146">
        <f>SUM(E3:E5)</f>
        <v>668165450</v>
      </c>
      <c r="F12" s="145"/>
    </row>
    <row r="13" spans="1:11" ht="23.25" customHeight="1">
      <c r="D13" s="147" t="s">
        <v>154</v>
      </c>
      <c r="E13" s="146">
        <f>E6</f>
        <v>1920000000</v>
      </c>
      <c r="F13" s="145"/>
    </row>
    <row r="14" spans="1:11" ht="23.25" customHeight="1">
      <c r="D14" s="147" t="s">
        <v>124</v>
      </c>
      <c r="E14" s="145"/>
      <c r="F14" s="146">
        <f>SUM(F7:F8)</f>
        <v>200763</v>
      </c>
    </row>
    <row r="15" spans="1:11" ht="23.25" customHeight="1">
      <c r="D15" s="145" t="s">
        <v>136</v>
      </c>
      <c r="E15" s="146">
        <f>SUM(E12:E13)</f>
        <v>2588165450</v>
      </c>
      <c r="F15" s="146">
        <f>SUM(F14)</f>
        <v>200763</v>
      </c>
    </row>
  </sheetData>
  <pageMargins left="0.7" right="0.7" top="0.75" bottom="0.75" header="0.3" footer="0.3"/>
  <pageSetup paperSize="9" scale="70" fitToHeight="0" orientation="landscape" useFirstPageNumber="1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"/>
  <sheetViews>
    <sheetView rightToLeft="1" zoomScaleNormal="100" workbookViewId="0">
      <pane ySplit="1" topLeftCell="A2" activePane="bottomLeft" state="frozen"/>
      <selection pane="bottomLeft" activeCell="E6" sqref="E6"/>
    </sheetView>
  </sheetViews>
  <sheetFormatPr defaultColWidth="9.125" defaultRowHeight="21.75" customHeight="1"/>
  <cols>
    <col min="1" max="1" width="13.5" style="144" bestFit="1" customWidth="1"/>
    <col min="2" max="2" width="37" style="143" bestFit="1" customWidth="1"/>
    <col min="3" max="3" width="12" style="143" bestFit="1" customWidth="1"/>
    <col min="4" max="4" width="14.5" style="143" bestFit="1" customWidth="1"/>
    <col min="5" max="5" width="16.5" style="143" bestFit="1" customWidth="1"/>
    <col min="6" max="6" width="17.625" style="143" bestFit="1" customWidth="1"/>
    <col min="7" max="7" width="19.5" style="143" bestFit="1" customWidth="1"/>
    <col min="8" max="8" width="20.625" style="143" bestFit="1" customWidth="1"/>
    <col min="9" max="9" width="16.125" style="143" bestFit="1" customWidth="1"/>
    <col min="10" max="10" width="16.625" style="143" bestFit="1" customWidth="1"/>
    <col min="11" max="11" width="19.875" style="143" bestFit="1" customWidth="1"/>
    <col min="12" max="12" width="36.5" style="143" bestFit="1" customWidth="1"/>
    <col min="13" max="17" width="10.5" style="144" bestFit="1" customWidth="1"/>
    <col min="18" max="256" width="9.125" style="144"/>
    <col min="257" max="257" width="13.5" style="144" bestFit="1" customWidth="1"/>
    <col min="258" max="258" width="37" style="144" bestFit="1" customWidth="1"/>
    <col min="259" max="259" width="12" style="144" bestFit="1" customWidth="1"/>
    <col min="260" max="260" width="14.5" style="144" bestFit="1" customWidth="1"/>
    <col min="261" max="261" width="16.5" style="144" bestFit="1" customWidth="1"/>
    <col min="262" max="262" width="17.625" style="144" bestFit="1" customWidth="1"/>
    <col min="263" max="263" width="19.5" style="144" bestFit="1" customWidth="1"/>
    <col min="264" max="264" width="20.625" style="144" bestFit="1" customWidth="1"/>
    <col min="265" max="265" width="16.125" style="144" bestFit="1" customWidth="1"/>
    <col min="266" max="266" width="16.625" style="144" bestFit="1" customWidth="1"/>
    <col min="267" max="267" width="19.875" style="144" bestFit="1" customWidth="1"/>
    <col min="268" max="268" width="36.5" style="144" bestFit="1" customWidth="1"/>
    <col min="269" max="273" width="10.5" style="144" bestFit="1" customWidth="1"/>
    <col min="274" max="512" width="9.125" style="144"/>
    <col min="513" max="513" width="13.5" style="144" bestFit="1" customWidth="1"/>
    <col min="514" max="514" width="37" style="144" bestFit="1" customWidth="1"/>
    <col min="515" max="515" width="12" style="144" bestFit="1" customWidth="1"/>
    <col min="516" max="516" width="14.5" style="144" bestFit="1" customWidth="1"/>
    <col min="517" max="517" width="16.5" style="144" bestFit="1" customWidth="1"/>
    <col min="518" max="518" width="17.625" style="144" bestFit="1" customWidth="1"/>
    <col min="519" max="519" width="19.5" style="144" bestFit="1" customWidth="1"/>
    <col min="520" max="520" width="20.625" style="144" bestFit="1" customWidth="1"/>
    <col min="521" max="521" width="16.125" style="144" bestFit="1" customWidth="1"/>
    <col min="522" max="522" width="16.625" style="144" bestFit="1" customWidth="1"/>
    <col min="523" max="523" width="19.875" style="144" bestFit="1" customWidth="1"/>
    <col min="524" max="524" width="36.5" style="144" bestFit="1" customWidth="1"/>
    <col min="525" max="529" width="10.5" style="144" bestFit="1" customWidth="1"/>
    <col min="530" max="768" width="9.125" style="144"/>
    <col min="769" max="769" width="13.5" style="144" bestFit="1" customWidth="1"/>
    <col min="770" max="770" width="37" style="144" bestFit="1" customWidth="1"/>
    <col min="771" max="771" width="12" style="144" bestFit="1" customWidth="1"/>
    <col min="772" max="772" width="14.5" style="144" bestFit="1" customWidth="1"/>
    <col min="773" max="773" width="16.5" style="144" bestFit="1" customWidth="1"/>
    <col min="774" max="774" width="17.625" style="144" bestFit="1" customWidth="1"/>
    <col min="775" max="775" width="19.5" style="144" bestFit="1" customWidth="1"/>
    <col min="776" max="776" width="20.625" style="144" bestFit="1" customWidth="1"/>
    <col min="777" max="777" width="16.125" style="144" bestFit="1" customWidth="1"/>
    <col min="778" max="778" width="16.625" style="144" bestFit="1" customWidth="1"/>
    <col min="779" max="779" width="19.875" style="144" bestFit="1" customWidth="1"/>
    <col min="780" max="780" width="36.5" style="144" bestFit="1" customWidth="1"/>
    <col min="781" max="785" width="10.5" style="144" bestFit="1" customWidth="1"/>
    <col min="786" max="1024" width="9.125" style="144"/>
    <col min="1025" max="1025" width="13.5" style="144" bestFit="1" customWidth="1"/>
    <col min="1026" max="1026" width="37" style="144" bestFit="1" customWidth="1"/>
    <col min="1027" max="1027" width="12" style="144" bestFit="1" customWidth="1"/>
    <col min="1028" max="1028" width="14.5" style="144" bestFit="1" customWidth="1"/>
    <col min="1029" max="1029" width="16.5" style="144" bestFit="1" customWidth="1"/>
    <col min="1030" max="1030" width="17.625" style="144" bestFit="1" customWidth="1"/>
    <col min="1031" max="1031" width="19.5" style="144" bestFit="1" customWidth="1"/>
    <col min="1032" max="1032" width="20.625" style="144" bestFit="1" customWidth="1"/>
    <col min="1033" max="1033" width="16.125" style="144" bestFit="1" customWidth="1"/>
    <col min="1034" max="1034" width="16.625" style="144" bestFit="1" customWidth="1"/>
    <col min="1035" max="1035" width="19.875" style="144" bestFit="1" customWidth="1"/>
    <col min="1036" max="1036" width="36.5" style="144" bestFit="1" customWidth="1"/>
    <col min="1037" max="1041" width="10.5" style="144" bestFit="1" customWidth="1"/>
    <col min="1042" max="1280" width="9.125" style="144"/>
    <col min="1281" max="1281" width="13.5" style="144" bestFit="1" customWidth="1"/>
    <col min="1282" max="1282" width="37" style="144" bestFit="1" customWidth="1"/>
    <col min="1283" max="1283" width="12" style="144" bestFit="1" customWidth="1"/>
    <col min="1284" max="1284" width="14.5" style="144" bestFit="1" customWidth="1"/>
    <col min="1285" max="1285" width="16.5" style="144" bestFit="1" customWidth="1"/>
    <col min="1286" max="1286" width="17.625" style="144" bestFit="1" customWidth="1"/>
    <col min="1287" max="1287" width="19.5" style="144" bestFit="1" customWidth="1"/>
    <col min="1288" max="1288" width="20.625" style="144" bestFit="1" customWidth="1"/>
    <col min="1289" max="1289" width="16.125" style="144" bestFit="1" customWidth="1"/>
    <col min="1290" max="1290" width="16.625" style="144" bestFit="1" customWidth="1"/>
    <col min="1291" max="1291" width="19.875" style="144" bestFit="1" customWidth="1"/>
    <col min="1292" max="1292" width="36.5" style="144" bestFit="1" customWidth="1"/>
    <col min="1293" max="1297" width="10.5" style="144" bestFit="1" customWidth="1"/>
    <col min="1298" max="1536" width="9.125" style="144"/>
    <col min="1537" max="1537" width="13.5" style="144" bestFit="1" customWidth="1"/>
    <col min="1538" max="1538" width="37" style="144" bestFit="1" customWidth="1"/>
    <col min="1539" max="1539" width="12" style="144" bestFit="1" customWidth="1"/>
    <col min="1540" max="1540" width="14.5" style="144" bestFit="1" customWidth="1"/>
    <col min="1541" max="1541" width="16.5" style="144" bestFit="1" customWidth="1"/>
    <col min="1542" max="1542" width="17.625" style="144" bestFit="1" customWidth="1"/>
    <col min="1543" max="1543" width="19.5" style="144" bestFit="1" customWidth="1"/>
    <col min="1544" max="1544" width="20.625" style="144" bestFit="1" customWidth="1"/>
    <col min="1545" max="1545" width="16.125" style="144" bestFit="1" customWidth="1"/>
    <col min="1546" max="1546" width="16.625" style="144" bestFit="1" customWidth="1"/>
    <col min="1547" max="1547" width="19.875" style="144" bestFit="1" customWidth="1"/>
    <col min="1548" max="1548" width="36.5" style="144" bestFit="1" customWidth="1"/>
    <col min="1549" max="1553" width="10.5" style="144" bestFit="1" customWidth="1"/>
    <col min="1554" max="1792" width="9.125" style="144"/>
    <col min="1793" max="1793" width="13.5" style="144" bestFit="1" customWidth="1"/>
    <col min="1794" max="1794" width="37" style="144" bestFit="1" customWidth="1"/>
    <col min="1795" max="1795" width="12" style="144" bestFit="1" customWidth="1"/>
    <col min="1796" max="1796" width="14.5" style="144" bestFit="1" customWidth="1"/>
    <col min="1797" max="1797" width="16.5" style="144" bestFit="1" customWidth="1"/>
    <col min="1798" max="1798" width="17.625" style="144" bestFit="1" customWidth="1"/>
    <col min="1799" max="1799" width="19.5" style="144" bestFit="1" customWidth="1"/>
    <col min="1800" max="1800" width="20.625" style="144" bestFit="1" customWidth="1"/>
    <col min="1801" max="1801" width="16.125" style="144" bestFit="1" customWidth="1"/>
    <col min="1802" max="1802" width="16.625" style="144" bestFit="1" customWidth="1"/>
    <col min="1803" max="1803" width="19.875" style="144" bestFit="1" customWidth="1"/>
    <col min="1804" max="1804" width="36.5" style="144" bestFit="1" customWidth="1"/>
    <col min="1805" max="1809" width="10.5" style="144" bestFit="1" customWidth="1"/>
    <col min="1810" max="2048" width="9.125" style="144"/>
    <col min="2049" max="2049" width="13.5" style="144" bestFit="1" customWidth="1"/>
    <col min="2050" max="2050" width="37" style="144" bestFit="1" customWidth="1"/>
    <col min="2051" max="2051" width="12" style="144" bestFit="1" customWidth="1"/>
    <col min="2052" max="2052" width="14.5" style="144" bestFit="1" customWidth="1"/>
    <col min="2053" max="2053" width="16.5" style="144" bestFit="1" customWidth="1"/>
    <col min="2054" max="2054" width="17.625" style="144" bestFit="1" customWidth="1"/>
    <col min="2055" max="2055" width="19.5" style="144" bestFit="1" customWidth="1"/>
    <col min="2056" max="2056" width="20.625" style="144" bestFit="1" customWidth="1"/>
    <col min="2057" max="2057" width="16.125" style="144" bestFit="1" customWidth="1"/>
    <col min="2058" max="2058" width="16.625" style="144" bestFit="1" customWidth="1"/>
    <col min="2059" max="2059" width="19.875" style="144" bestFit="1" customWidth="1"/>
    <col min="2060" max="2060" width="36.5" style="144" bestFit="1" customWidth="1"/>
    <col min="2061" max="2065" width="10.5" style="144" bestFit="1" customWidth="1"/>
    <col min="2066" max="2304" width="9.125" style="144"/>
    <col min="2305" max="2305" width="13.5" style="144" bestFit="1" customWidth="1"/>
    <col min="2306" max="2306" width="37" style="144" bestFit="1" customWidth="1"/>
    <col min="2307" max="2307" width="12" style="144" bestFit="1" customWidth="1"/>
    <col min="2308" max="2308" width="14.5" style="144" bestFit="1" customWidth="1"/>
    <col min="2309" max="2309" width="16.5" style="144" bestFit="1" customWidth="1"/>
    <col min="2310" max="2310" width="17.625" style="144" bestFit="1" customWidth="1"/>
    <col min="2311" max="2311" width="19.5" style="144" bestFit="1" customWidth="1"/>
    <col min="2312" max="2312" width="20.625" style="144" bestFit="1" customWidth="1"/>
    <col min="2313" max="2313" width="16.125" style="144" bestFit="1" customWidth="1"/>
    <col min="2314" max="2314" width="16.625" style="144" bestFit="1" customWidth="1"/>
    <col min="2315" max="2315" width="19.875" style="144" bestFit="1" customWidth="1"/>
    <col min="2316" max="2316" width="36.5" style="144" bestFit="1" customWidth="1"/>
    <col min="2317" max="2321" width="10.5" style="144" bestFit="1" customWidth="1"/>
    <col min="2322" max="2560" width="9.125" style="144"/>
    <col min="2561" max="2561" width="13.5" style="144" bestFit="1" customWidth="1"/>
    <col min="2562" max="2562" width="37" style="144" bestFit="1" customWidth="1"/>
    <col min="2563" max="2563" width="12" style="144" bestFit="1" customWidth="1"/>
    <col min="2564" max="2564" width="14.5" style="144" bestFit="1" customWidth="1"/>
    <col min="2565" max="2565" width="16.5" style="144" bestFit="1" customWidth="1"/>
    <col min="2566" max="2566" width="17.625" style="144" bestFit="1" customWidth="1"/>
    <col min="2567" max="2567" width="19.5" style="144" bestFit="1" customWidth="1"/>
    <col min="2568" max="2568" width="20.625" style="144" bestFit="1" customWidth="1"/>
    <col min="2569" max="2569" width="16.125" style="144" bestFit="1" customWidth="1"/>
    <col min="2570" max="2570" width="16.625" style="144" bestFit="1" customWidth="1"/>
    <col min="2571" max="2571" width="19.875" style="144" bestFit="1" customWidth="1"/>
    <col min="2572" max="2572" width="36.5" style="144" bestFit="1" customWidth="1"/>
    <col min="2573" max="2577" width="10.5" style="144" bestFit="1" customWidth="1"/>
    <col min="2578" max="2816" width="9.125" style="144"/>
    <col min="2817" max="2817" width="13.5" style="144" bestFit="1" customWidth="1"/>
    <col min="2818" max="2818" width="37" style="144" bestFit="1" customWidth="1"/>
    <col min="2819" max="2819" width="12" style="144" bestFit="1" customWidth="1"/>
    <col min="2820" max="2820" width="14.5" style="144" bestFit="1" customWidth="1"/>
    <col min="2821" max="2821" width="16.5" style="144" bestFit="1" customWidth="1"/>
    <col min="2822" max="2822" width="17.625" style="144" bestFit="1" customWidth="1"/>
    <col min="2823" max="2823" width="19.5" style="144" bestFit="1" customWidth="1"/>
    <col min="2824" max="2824" width="20.625" style="144" bestFit="1" customWidth="1"/>
    <col min="2825" max="2825" width="16.125" style="144" bestFit="1" customWidth="1"/>
    <col min="2826" max="2826" width="16.625" style="144" bestFit="1" customWidth="1"/>
    <col min="2827" max="2827" width="19.875" style="144" bestFit="1" customWidth="1"/>
    <col min="2828" max="2828" width="36.5" style="144" bestFit="1" customWidth="1"/>
    <col min="2829" max="2833" width="10.5" style="144" bestFit="1" customWidth="1"/>
    <col min="2834" max="3072" width="9.125" style="144"/>
    <col min="3073" max="3073" width="13.5" style="144" bestFit="1" customWidth="1"/>
    <col min="3074" max="3074" width="37" style="144" bestFit="1" customWidth="1"/>
    <col min="3075" max="3075" width="12" style="144" bestFit="1" customWidth="1"/>
    <col min="3076" max="3076" width="14.5" style="144" bestFit="1" customWidth="1"/>
    <col min="3077" max="3077" width="16.5" style="144" bestFit="1" customWidth="1"/>
    <col min="3078" max="3078" width="17.625" style="144" bestFit="1" customWidth="1"/>
    <col min="3079" max="3079" width="19.5" style="144" bestFit="1" customWidth="1"/>
    <col min="3080" max="3080" width="20.625" style="144" bestFit="1" customWidth="1"/>
    <col min="3081" max="3081" width="16.125" style="144" bestFit="1" customWidth="1"/>
    <col min="3082" max="3082" width="16.625" style="144" bestFit="1" customWidth="1"/>
    <col min="3083" max="3083" width="19.875" style="144" bestFit="1" customWidth="1"/>
    <col min="3084" max="3084" width="36.5" style="144" bestFit="1" customWidth="1"/>
    <col min="3085" max="3089" width="10.5" style="144" bestFit="1" customWidth="1"/>
    <col min="3090" max="3328" width="9.125" style="144"/>
    <col min="3329" max="3329" width="13.5" style="144" bestFit="1" customWidth="1"/>
    <col min="3330" max="3330" width="37" style="144" bestFit="1" customWidth="1"/>
    <col min="3331" max="3331" width="12" style="144" bestFit="1" customWidth="1"/>
    <col min="3332" max="3332" width="14.5" style="144" bestFit="1" customWidth="1"/>
    <col min="3333" max="3333" width="16.5" style="144" bestFit="1" customWidth="1"/>
    <col min="3334" max="3334" width="17.625" style="144" bestFit="1" customWidth="1"/>
    <col min="3335" max="3335" width="19.5" style="144" bestFit="1" customWidth="1"/>
    <col min="3336" max="3336" width="20.625" style="144" bestFit="1" customWidth="1"/>
    <col min="3337" max="3337" width="16.125" style="144" bestFit="1" customWidth="1"/>
    <col min="3338" max="3338" width="16.625" style="144" bestFit="1" customWidth="1"/>
    <col min="3339" max="3339" width="19.875" style="144" bestFit="1" customWidth="1"/>
    <col min="3340" max="3340" width="36.5" style="144" bestFit="1" customWidth="1"/>
    <col min="3341" max="3345" width="10.5" style="144" bestFit="1" customWidth="1"/>
    <col min="3346" max="3584" width="9.125" style="144"/>
    <col min="3585" max="3585" width="13.5" style="144" bestFit="1" customWidth="1"/>
    <col min="3586" max="3586" width="37" style="144" bestFit="1" customWidth="1"/>
    <col min="3587" max="3587" width="12" style="144" bestFit="1" customWidth="1"/>
    <col min="3588" max="3588" width="14.5" style="144" bestFit="1" customWidth="1"/>
    <col min="3589" max="3589" width="16.5" style="144" bestFit="1" customWidth="1"/>
    <col min="3590" max="3590" width="17.625" style="144" bestFit="1" customWidth="1"/>
    <col min="3591" max="3591" width="19.5" style="144" bestFit="1" customWidth="1"/>
    <col min="3592" max="3592" width="20.625" style="144" bestFit="1" customWidth="1"/>
    <col min="3593" max="3593" width="16.125" style="144" bestFit="1" customWidth="1"/>
    <col min="3594" max="3594" width="16.625" style="144" bestFit="1" customWidth="1"/>
    <col min="3595" max="3595" width="19.875" style="144" bestFit="1" customWidth="1"/>
    <col min="3596" max="3596" width="36.5" style="144" bestFit="1" customWidth="1"/>
    <col min="3597" max="3601" width="10.5" style="144" bestFit="1" customWidth="1"/>
    <col min="3602" max="3840" width="9.125" style="144"/>
    <col min="3841" max="3841" width="13.5" style="144" bestFit="1" customWidth="1"/>
    <col min="3842" max="3842" width="37" style="144" bestFit="1" customWidth="1"/>
    <col min="3843" max="3843" width="12" style="144" bestFit="1" customWidth="1"/>
    <col min="3844" max="3844" width="14.5" style="144" bestFit="1" customWidth="1"/>
    <col min="3845" max="3845" width="16.5" style="144" bestFit="1" customWidth="1"/>
    <col min="3846" max="3846" width="17.625" style="144" bestFit="1" customWidth="1"/>
    <col min="3847" max="3847" width="19.5" style="144" bestFit="1" customWidth="1"/>
    <col min="3848" max="3848" width="20.625" style="144" bestFit="1" customWidth="1"/>
    <col min="3849" max="3849" width="16.125" style="144" bestFit="1" customWidth="1"/>
    <col min="3850" max="3850" width="16.625" style="144" bestFit="1" customWidth="1"/>
    <col min="3851" max="3851" width="19.875" style="144" bestFit="1" customWidth="1"/>
    <col min="3852" max="3852" width="36.5" style="144" bestFit="1" customWidth="1"/>
    <col min="3853" max="3857" width="10.5" style="144" bestFit="1" customWidth="1"/>
    <col min="3858" max="4096" width="9.125" style="144"/>
    <col min="4097" max="4097" width="13.5" style="144" bestFit="1" customWidth="1"/>
    <col min="4098" max="4098" width="37" style="144" bestFit="1" customWidth="1"/>
    <col min="4099" max="4099" width="12" style="144" bestFit="1" customWidth="1"/>
    <col min="4100" max="4100" width="14.5" style="144" bestFit="1" customWidth="1"/>
    <col min="4101" max="4101" width="16.5" style="144" bestFit="1" customWidth="1"/>
    <col min="4102" max="4102" width="17.625" style="144" bestFit="1" customWidth="1"/>
    <col min="4103" max="4103" width="19.5" style="144" bestFit="1" customWidth="1"/>
    <col min="4104" max="4104" width="20.625" style="144" bestFit="1" customWidth="1"/>
    <col min="4105" max="4105" width="16.125" style="144" bestFit="1" customWidth="1"/>
    <col min="4106" max="4106" width="16.625" style="144" bestFit="1" customWidth="1"/>
    <col min="4107" max="4107" width="19.875" style="144" bestFit="1" customWidth="1"/>
    <col min="4108" max="4108" width="36.5" style="144" bestFit="1" customWidth="1"/>
    <col min="4109" max="4113" width="10.5" style="144" bestFit="1" customWidth="1"/>
    <col min="4114" max="4352" width="9.125" style="144"/>
    <col min="4353" max="4353" width="13.5" style="144" bestFit="1" customWidth="1"/>
    <col min="4354" max="4354" width="37" style="144" bestFit="1" customWidth="1"/>
    <col min="4355" max="4355" width="12" style="144" bestFit="1" customWidth="1"/>
    <col min="4356" max="4356" width="14.5" style="144" bestFit="1" customWidth="1"/>
    <col min="4357" max="4357" width="16.5" style="144" bestFit="1" customWidth="1"/>
    <col min="4358" max="4358" width="17.625" style="144" bestFit="1" customWidth="1"/>
    <col min="4359" max="4359" width="19.5" style="144" bestFit="1" customWidth="1"/>
    <col min="4360" max="4360" width="20.625" style="144" bestFit="1" customWidth="1"/>
    <col min="4361" max="4361" width="16.125" style="144" bestFit="1" customWidth="1"/>
    <col min="4362" max="4362" width="16.625" style="144" bestFit="1" customWidth="1"/>
    <col min="4363" max="4363" width="19.875" style="144" bestFit="1" customWidth="1"/>
    <col min="4364" max="4364" width="36.5" style="144" bestFit="1" customWidth="1"/>
    <col min="4365" max="4369" width="10.5" style="144" bestFit="1" customWidth="1"/>
    <col min="4370" max="4608" width="9.125" style="144"/>
    <col min="4609" max="4609" width="13.5" style="144" bestFit="1" customWidth="1"/>
    <col min="4610" max="4610" width="37" style="144" bestFit="1" customWidth="1"/>
    <col min="4611" max="4611" width="12" style="144" bestFit="1" customWidth="1"/>
    <col min="4612" max="4612" width="14.5" style="144" bestFit="1" customWidth="1"/>
    <col min="4613" max="4613" width="16.5" style="144" bestFit="1" customWidth="1"/>
    <col min="4614" max="4614" width="17.625" style="144" bestFit="1" customWidth="1"/>
    <col min="4615" max="4615" width="19.5" style="144" bestFit="1" customWidth="1"/>
    <col min="4616" max="4616" width="20.625" style="144" bestFit="1" customWidth="1"/>
    <col min="4617" max="4617" width="16.125" style="144" bestFit="1" customWidth="1"/>
    <col min="4618" max="4618" width="16.625" style="144" bestFit="1" customWidth="1"/>
    <col min="4619" max="4619" width="19.875" style="144" bestFit="1" customWidth="1"/>
    <col min="4620" max="4620" width="36.5" style="144" bestFit="1" customWidth="1"/>
    <col min="4621" max="4625" width="10.5" style="144" bestFit="1" customWidth="1"/>
    <col min="4626" max="4864" width="9.125" style="144"/>
    <col min="4865" max="4865" width="13.5" style="144" bestFit="1" customWidth="1"/>
    <col min="4866" max="4866" width="37" style="144" bestFit="1" customWidth="1"/>
    <col min="4867" max="4867" width="12" style="144" bestFit="1" customWidth="1"/>
    <col min="4868" max="4868" width="14.5" style="144" bestFit="1" customWidth="1"/>
    <col min="4869" max="4869" width="16.5" style="144" bestFit="1" customWidth="1"/>
    <col min="4870" max="4870" width="17.625" style="144" bestFit="1" customWidth="1"/>
    <col min="4871" max="4871" width="19.5" style="144" bestFit="1" customWidth="1"/>
    <col min="4872" max="4872" width="20.625" style="144" bestFit="1" customWidth="1"/>
    <col min="4873" max="4873" width="16.125" style="144" bestFit="1" customWidth="1"/>
    <col min="4874" max="4874" width="16.625" style="144" bestFit="1" customWidth="1"/>
    <col min="4875" max="4875" width="19.875" style="144" bestFit="1" customWidth="1"/>
    <col min="4876" max="4876" width="36.5" style="144" bestFit="1" customWidth="1"/>
    <col min="4877" max="4881" width="10.5" style="144" bestFit="1" customWidth="1"/>
    <col min="4882" max="5120" width="9.125" style="144"/>
    <col min="5121" max="5121" width="13.5" style="144" bestFit="1" customWidth="1"/>
    <col min="5122" max="5122" width="37" style="144" bestFit="1" customWidth="1"/>
    <col min="5123" max="5123" width="12" style="144" bestFit="1" customWidth="1"/>
    <col min="5124" max="5124" width="14.5" style="144" bestFit="1" customWidth="1"/>
    <col min="5125" max="5125" width="16.5" style="144" bestFit="1" customWidth="1"/>
    <col min="5126" max="5126" width="17.625" style="144" bestFit="1" customWidth="1"/>
    <col min="5127" max="5127" width="19.5" style="144" bestFit="1" customWidth="1"/>
    <col min="5128" max="5128" width="20.625" style="144" bestFit="1" customWidth="1"/>
    <col min="5129" max="5129" width="16.125" style="144" bestFit="1" customWidth="1"/>
    <col min="5130" max="5130" width="16.625" style="144" bestFit="1" customWidth="1"/>
    <col min="5131" max="5131" width="19.875" style="144" bestFit="1" customWidth="1"/>
    <col min="5132" max="5132" width="36.5" style="144" bestFit="1" customWidth="1"/>
    <col min="5133" max="5137" width="10.5" style="144" bestFit="1" customWidth="1"/>
    <col min="5138" max="5376" width="9.125" style="144"/>
    <col min="5377" max="5377" width="13.5" style="144" bestFit="1" customWidth="1"/>
    <col min="5378" max="5378" width="37" style="144" bestFit="1" customWidth="1"/>
    <col min="5379" max="5379" width="12" style="144" bestFit="1" customWidth="1"/>
    <col min="5380" max="5380" width="14.5" style="144" bestFit="1" customWidth="1"/>
    <col min="5381" max="5381" width="16.5" style="144" bestFit="1" customWidth="1"/>
    <col min="5382" max="5382" width="17.625" style="144" bestFit="1" customWidth="1"/>
    <col min="5383" max="5383" width="19.5" style="144" bestFit="1" customWidth="1"/>
    <col min="5384" max="5384" width="20.625" style="144" bestFit="1" customWidth="1"/>
    <col min="5385" max="5385" width="16.125" style="144" bestFit="1" customWidth="1"/>
    <col min="5386" max="5386" width="16.625" style="144" bestFit="1" customWidth="1"/>
    <col min="5387" max="5387" width="19.875" style="144" bestFit="1" customWidth="1"/>
    <col min="5388" max="5388" width="36.5" style="144" bestFit="1" customWidth="1"/>
    <col min="5389" max="5393" width="10.5" style="144" bestFit="1" customWidth="1"/>
    <col min="5394" max="5632" width="9.125" style="144"/>
    <col min="5633" max="5633" width="13.5" style="144" bestFit="1" customWidth="1"/>
    <col min="5634" max="5634" width="37" style="144" bestFit="1" customWidth="1"/>
    <col min="5635" max="5635" width="12" style="144" bestFit="1" customWidth="1"/>
    <col min="5636" max="5636" width="14.5" style="144" bestFit="1" customWidth="1"/>
    <col min="5637" max="5637" width="16.5" style="144" bestFit="1" customWidth="1"/>
    <col min="5638" max="5638" width="17.625" style="144" bestFit="1" customWidth="1"/>
    <col min="5639" max="5639" width="19.5" style="144" bestFit="1" customWidth="1"/>
    <col min="5640" max="5640" width="20.625" style="144" bestFit="1" customWidth="1"/>
    <col min="5641" max="5641" width="16.125" style="144" bestFit="1" customWidth="1"/>
    <col min="5642" max="5642" width="16.625" style="144" bestFit="1" customWidth="1"/>
    <col min="5643" max="5643" width="19.875" style="144" bestFit="1" customWidth="1"/>
    <col min="5644" max="5644" width="36.5" style="144" bestFit="1" customWidth="1"/>
    <col min="5645" max="5649" width="10.5" style="144" bestFit="1" customWidth="1"/>
    <col min="5650" max="5888" width="9.125" style="144"/>
    <col min="5889" max="5889" width="13.5" style="144" bestFit="1" customWidth="1"/>
    <col min="5890" max="5890" width="37" style="144" bestFit="1" customWidth="1"/>
    <col min="5891" max="5891" width="12" style="144" bestFit="1" customWidth="1"/>
    <col min="5892" max="5892" width="14.5" style="144" bestFit="1" customWidth="1"/>
    <col min="5893" max="5893" width="16.5" style="144" bestFit="1" customWidth="1"/>
    <col min="5894" max="5894" width="17.625" style="144" bestFit="1" customWidth="1"/>
    <col min="5895" max="5895" width="19.5" style="144" bestFit="1" customWidth="1"/>
    <col min="5896" max="5896" width="20.625" style="144" bestFit="1" customWidth="1"/>
    <col min="5897" max="5897" width="16.125" style="144" bestFit="1" customWidth="1"/>
    <col min="5898" max="5898" width="16.625" style="144" bestFit="1" customWidth="1"/>
    <col min="5899" max="5899" width="19.875" style="144" bestFit="1" customWidth="1"/>
    <col min="5900" max="5900" width="36.5" style="144" bestFit="1" customWidth="1"/>
    <col min="5901" max="5905" width="10.5" style="144" bestFit="1" customWidth="1"/>
    <col min="5906" max="6144" width="9.125" style="144"/>
    <col min="6145" max="6145" width="13.5" style="144" bestFit="1" customWidth="1"/>
    <col min="6146" max="6146" width="37" style="144" bestFit="1" customWidth="1"/>
    <col min="6147" max="6147" width="12" style="144" bestFit="1" customWidth="1"/>
    <col min="6148" max="6148" width="14.5" style="144" bestFit="1" customWidth="1"/>
    <col min="6149" max="6149" width="16.5" style="144" bestFit="1" customWidth="1"/>
    <col min="6150" max="6150" width="17.625" style="144" bestFit="1" customWidth="1"/>
    <col min="6151" max="6151" width="19.5" style="144" bestFit="1" customWidth="1"/>
    <col min="6152" max="6152" width="20.625" style="144" bestFit="1" customWidth="1"/>
    <col min="6153" max="6153" width="16.125" style="144" bestFit="1" customWidth="1"/>
    <col min="6154" max="6154" width="16.625" style="144" bestFit="1" customWidth="1"/>
    <col min="6155" max="6155" width="19.875" style="144" bestFit="1" customWidth="1"/>
    <col min="6156" max="6156" width="36.5" style="144" bestFit="1" customWidth="1"/>
    <col min="6157" max="6161" width="10.5" style="144" bestFit="1" customWidth="1"/>
    <col min="6162" max="6400" width="9.125" style="144"/>
    <col min="6401" max="6401" width="13.5" style="144" bestFit="1" customWidth="1"/>
    <col min="6402" max="6402" width="37" style="144" bestFit="1" customWidth="1"/>
    <col min="6403" max="6403" width="12" style="144" bestFit="1" customWidth="1"/>
    <col min="6404" max="6404" width="14.5" style="144" bestFit="1" customWidth="1"/>
    <col min="6405" max="6405" width="16.5" style="144" bestFit="1" customWidth="1"/>
    <col min="6406" max="6406" width="17.625" style="144" bestFit="1" customWidth="1"/>
    <col min="6407" max="6407" width="19.5" style="144" bestFit="1" customWidth="1"/>
    <col min="6408" max="6408" width="20.625" style="144" bestFit="1" customWidth="1"/>
    <col min="6409" max="6409" width="16.125" style="144" bestFit="1" customWidth="1"/>
    <col min="6410" max="6410" width="16.625" style="144" bestFit="1" customWidth="1"/>
    <col min="6411" max="6411" width="19.875" style="144" bestFit="1" customWidth="1"/>
    <col min="6412" max="6412" width="36.5" style="144" bestFit="1" customWidth="1"/>
    <col min="6413" max="6417" width="10.5" style="144" bestFit="1" customWidth="1"/>
    <col min="6418" max="6656" width="9.125" style="144"/>
    <col min="6657" max="6657" width="13.5" style="144" bestFit="1" customWidth="1"/>
    <col min="6658" max="6658" width="37" style="144" bestFit="1" customWidth="1"/>
    <col min="6659" max="6659" width="12" style="144" bestFit="1" customWidth="1"/>
    <col min="6660" max="6660" width="14.5" style="144" bestFit="1" customWidth="1"/>
    <col min="6661" max="6661" width="16.5" style="144" bestFit="1" customWidth="1"/>
    <col min="6662" max="6662" width="17.625" style="144" bestFit="1" customWidth="1"/>
    <col min="6663" max="6663" width="19.5" style="144" bestFit="1" customWidth="1"/>
    <col min="6664" max="6664" width="20.625" style="144" bestFit="1" customWidth="1"/>
    <col min="6665" max="6665" width="16.125" style="144" bestFit="1" customWidth="1"/>
    <col min="6666" max="6666" width="16.625" style="144" bestFit="1" customWidth="1"/>
    <col min="6667" max="6667" width="19.875" style="144" bestFit="1" customWidth="1"/>
    <col min="6668" max="6668" width="36.5" style="144" bestFit="1" customWidth="1"/>
    <col min="6669" max="6673" width="10.5" style="144" bestFit="1" customWidth="1"/>
    <col min="6674" max="6912" width="9.125" style="144"/>
    <col min="6913" max="6913" width="13.5" style="144" bestFit="1" customWidth="1"/>
    <col min="6914" max="6914" width="37" style="144" bestFit="1" customWidth="1"/>
    <col min="6915" max="6915" width="12" style="144" bestFit="1" customWidth="1"/>
    <col min="6916" max="6916" width="14.5" style="144" bestFit="1" customWidth="1"/>
    <col min="6917" max="6917" width="16.5" style="144" bestFit="1" customWidth="1"/>
    <col min="6918" max="6918" width="17.625" style="144" bestFit="1" customWidth="1"/>
    <col min="6919" max="6919" width="19.5" style="144" bestFit="1" customWidth="1"/>
    <col min="6920" max="6920" width="20.625" style="144" bestFit="1" customWidth="1"/>
    <col min="6921" max="6921" width="16.125" style="144" bestFit="1" customWidth="1"/>
    <col min="6922" max="6922" width="16.625" style="144" bestFit="1" customWidth="1"/>
    <col min="6923" max="6923" width="19.875" style="144" bestFit="1" customWidth="1"/>
    <col min="6924" max="6924" width="36.5" style="144" bestFit="1" customWidth="1"/>
    <col min="6925" max="6929" width="10.5" style="144" bestFit="1" customWidth="1"/>
    <col min="6930" max="7168" width="9.125" style="144"/>
    <col min="7169" max="7169" width="13.5" style="144" bestFit="1" customWidth="1"/>
    <col min="7170" max="7170" width="37" style="144" bestFit="1" customWidth="1"/>
    <col min="7171" max="7171" width="12" style="144" bestFit="1" customWidth="1"/>
    <col min="7172" max="7172" width="14.5" style="144" bestFit="1" customWidth="1"/>
    <col min="7173" max="7173" width="16.5" style="144" bestFit="1" customWidth="1"/>
    <col min="7174" max="7174" width="17.625" style="144" bestFit="1" customWidth="1"/>
    <col min="7175" max="7175" width="19.5" style="144" bestFit="1" customWidth="1"/>
    <col min="7176" max="7176" width="20.625" style="144" bestFit="1" customWidth="1"/>
    <col min="7177" max="7177" width="16.125" style="144" bestFit="1" customWidth="1"/>
    <col min="7178" max="7178" width="16.625" style="144" bestFit="1" customWidth="1"/>
    <col min="7179" max="7179" width="19.875" style="144" bestFit="1" customWidth="1"/>
    <col min="7180" max="7180" width="36.5" style="144" bestFit="1" customWidth="1"/>
    <col min="7181" max="7185" width="10.5" style="144" bestFit="1" customWidth="1"/>
    <col min="7186" max="7424" width="9.125" style="144"/>
    <col min="7425" max="7425" width="13.5" style="144" bestFit="1" customWidth="1"/>
    <col min="7426" max="7426" width="37" style="144" bestFit="1" customWidth="1"/>
    <col min="7427" max="7427" width="12" style="144" bestFit="1" customWidth="1"/>
    <col min="7428" max="7428" width="14.5" style="144" bestFit="1" customWidth="1"/>
    <col min="7429" max="7429" width="16.5" style="144" bestFit="1" customWidth="1"/>
    <col min="7430" max="7430" width="17.625" style="144" bestFit="1" customWidth="1"/>
    <col min="7431" max="7431" width="19.5" style="144" bestFit="1" customWidth="1"/>
    <col min="7432" max="7432" width="20.625" style="144" bestFit="1" customWidth="1"/>
    <col min="7433" max="7433" width="16.125" style="144" bestFit="1" customWidth="1"/>
    <col min="7434" max="7434" width="16.625" style="144" bestFit="1" customWidth="1"/>
    <col min="7435" max="7435" width="19.875" style="144" bestFit="1" customWidth="1"/>
    <col min="7436" max="7436" width="36.5" style="144" bestFit="1" customWidth="1"/>
    <col min="7437" max="7441" width="10.5" style="144" bestFit="1" customWidth="1"/>
    <col min="7442" max="7680" width="9.125" style="144"/>
    <col min="7681" max="7681" width="13.5" style="144" bestFit="1" customWidth="1"/>
    <col min="7682" max="7682" width="37" style="144" bestFit="1" customWidth="1"/>
    <col min="7683" max="7683" width="12" style="144" bestFit="1" customWidth="1"/>
    <col min="7684" max="7684" width="14.5" style="144" bestFit="1" customWidth="1"/>
    <col min="7685" max="7685" width="16.5" style="144" bestFit="1" customWidth="1"/>
    <col min="7686" max="7686" width="17.625" style="144" bestFit="1" customWidth="1"/>
    <col min="7687" max="7687" width="19.5" style="144" bestFit="1" customWidth="1"/>
    <col min="7688" max="7688" width="20.625" style="144" bestFit="1" customWidth="1"/>
    <col min="7689" max="7689" width="16.125" style="144" bestFit="1" customWidth="1"/>
    <col min="7690" max="7690" width="16.625" style="144" bestFit="1" customWidth="1"/>
    <col min="7691" max="7691" width="19.875" style="144" bestFit="1" customWidth="1"/>
    <col min="7692" max="7692" width="36.5" style="144" bestFit="1" customWidth="1"/>
    <col min="7693" max="7697" width="10.5" style="144" bestFit="1" customWidth="1"/>
    <col min="7698" max="7936" width="9.125" style="144"/>
    <col min="7937" max="7937" width="13.5" style="144" bestFit="1" customWidth="1"/>
    <col min="7938" max="7938" width="37" style="144" bestFit="1" customWidth="1"/>
    <col min="7939" max="7939" width="12" style="144" bestFit="1" customWidth="1"/>
    <col min="7940" max="7940" width="14.5" style="144" bestFit="1" customWidth="1"/>
    <col min="7941" max="7941" width="16.5" style="144" bestFit="1" customWidth="1"/>
    <col min="7942" max="7942" width="17.625" style="144" bestFit="1" customWidth="1"/>
    <col min="7943" max="7943" width="19.5" style="144" bestFit="1" customWidth="1"/>
    <col min="7944" max="7944" width="20.625" style="144" bestFit="1" customWidth="1"/>
    <col min="7945" max="7945" width="16.125" style="144" bestFit="1" customWidth="1"/>
    <col min="7946" max="7946" width="16.625" style="144" bestFit="1" customWidth="1"/>
    <col min="7947" max="7947" width="19.875" style="144" bestFit="1" customWidth="1"/>
    <col min="7948" max="7948" width="36.5" style="144" bestFit="1" customWidth="1"/>
    <col min="7949" max="7953" width="10.5" style="144" bestFit="1" customWidth="1"/>
    <col min="7954" max="8192" width="9.125" style="144"/>
    <col min="8193" max="8193" width="13.5" style="144" bestFit="1" customWidth="1"/>
    <col min="8194" max="8194" width="37" style="144" bestFit="1" customWidth="1"/>
    <col min="8195" max="8195" width="12" style="144" bestFit="1" customWidth="1"/>
    <col min="8196" max="8196" width="14.5" style="144" bestFit="1" customWidth="1"/>
    <col min="8197" max="8197" width="16.5" style="144" bestFit="1" customWidth="1"/>
    <col min="8198" max="8198" width="17.625" style="144" bestFit="1" customWidth="1"/>
    <col min="8199" max="8199" width="19.5" style="144" bestFit="1" customWidth="1"/>
    <col min="8200" max="8200" width="20.625" style="144" bestFit="1" customWidth="1"/>
    <col min="8201" max="8201" width="16.125" style="144" bestFit="1" customWidth="1"/>
    <col min="8202" max="8202" width="16.625" style="144" bestFit="1" customWidth="1"/>
    <col min="8203" max="8203" width="19.875" style="144" bestFit="1" customWidth="1"/>
    <col min="8204" max="8204" width="36.5" style="144" bestFit="1" customWidth="1"/>
    <col min="8205" max="8209" width="10.5" style="144" bestFit="1" customWidth="1"/>
    <col min="8210" max="8448" width="9.125" style="144"/>
    <col min="8449" max="8449" width="13.5" style="144" bestFit="1" customWidth="1"/>
    <col min="8450" max="8450" width="37" style="144" bestFit="1" customWidth="1"/>
    <col min="8451" max="8451" width="12" style="144" bestFit="1" customWidth="1"/>
    <col min="8452" max="8452" width="14.5" style="144" bestFit="1" customWidth="1"/>
    <col min="8453" max="8453" width="16.5" style="144" bestFit="1" customWidth="1"/>
    <col min="8454" max="8454" width="17.625" style="144" bestFit="1" customWidth="1"/>
    <col min="8455" max="8455" width="19.5" style="144" bestFit="1" customWidth="1"/>
    <col min="8456" max="8456" width="20.625" style="144" bestFit="1" customWidth="1"/>
    <col min="8457" max="8457" width="16.125" style="144" bestFit="1" customWidth="1"/>
    <col min="8458" max="8458" width="16.625" style="144" bestFit="1" customWidth="1"/>
    <col min="8459" max="8459" width="19.875" style="144" bestFit="1" customWidth="1"/>
    <col min="8460" max="8460" width="36.5" style="144" bestFit="1" customWidth="1"/>
    <col min="8461" max="8465" width="10.5" style="144" bestFit="1" customWidth="1"/>
    <col min="8466" max="8704" width="9.125" style="144"/>
    <col min="8705" max="8705" width="13.5" style="144" bestFit="1" customWidth="1"/>
    <col min="8706" max="8706" width="37" style="144" bestFit="1" customWidth="1"/>
    <col min="8707" max="8707" width="12" style="144" bestFit="1" customWidth="1"/>
    <col min="8708" max="8708" width="14.5" style="144" bestFit="1" customWidth="1"/>
    <col min="8709" max="8709" width="16.5" style="144" bestFit="1" customWidth="1"/>
    <col min="8710" max="8710" width="17.625" style="144" bestFit="1" customWidth="1"/>
    <col min="8711" max="8711" width="19.5" style="144" bestFit="1" customWidth="1"/>
    <col min="8712" max="8712" width="20.625" style="144" bestFit="1" customWidth="1"/>
    <col min="8713" max="8713" width="16.125" style="144" bestFit="1" customWidth="1"/>
    <col min="8714" max="8714" width="16.625" style="144" bestFit="1" customWidth="1"/>
    <col min="8715" max="8715" width="19.875" style="144" bestFit="1" customWidth="1"/>
    <col min="8716" max="8716" width="36.5" style="144" bestFit="1" customWidth="1"/>
    <col min="8717" max="8721" width="10.5" style="144" bestFit="1" customWidth="1"/>
    <col min="8722" max="8960" width="9.125" style="144"/>
    <col min="8961" max="8961" width="13.5" style="144" bestFit="1" customWidth="1"/>
    <col min="8962" max="8962" width="37" style="144" bestFit="1" customWidth="1"/>
    <col min="8963" max="8963" width="12" style="144" bestFit="1" customWidth="1"/>
    <col min="8964" max="8964" width="14.5" style="144" bestFit="1" customWidth="1"/>
    <col min="8965" max="8965" width="16.5" style="144" bestFit="1" customWidth="1"/>
    <col min="8966" max="8966" width="17.625" style="144" bestFit="1" customWidth="1"/>
    <col min="8967" max="8967" width="19.5" style="144" bestFit="1" customWidth="1"/>
    <col min="8968" max="8968" width="20.625" style="144" bestFit="1" customWidth="1"/>
    <col min="8969" max="8969" width="16.125" style="144" bestFit="1" customWidth="1"/>
    <col min="8970" max="8970" width="16.625" style="144" bestFit="1" customWidth="1"/>
    <col min="8971" max="8971" width="19.875" style="144" bestFit="1" customWidth="1"/>
    <col min="8972" max="8972" width="36.5" style="144" bestFit="1" customWidth="1"/>
    <col min="8973" max="8977" width="10.5" style="144" bestFit="1" customWidth="1"/>
    <col min="8978" max="9216" width="9.125" style="144"/>
    <col min="9217" max="9217" width="13.5" style="144" bestFit="1" customWidth="1"/>
    <col min="9218" max="9218" width="37" style="144" bestFit="1" customWidth="1"/>
    <col min="9219" max="9219" width="12" style="144" bestFit="1" customWidth="1"/>
    <col min="9220" max="9220" width="14.5" style="144" bestFit="1" customWidth="1"/>
    <col min="9221" max="9221" width="16.5" style="144" bestFit="1" customWidth="1"/>
    <col min="9222" max="9222" width="17.625" style="144" bestFit="1" customWidth="1"/>
    <col min="9223" max="9223" width="19.5" style="144" bestFit="1" customWidth="1"/>
    <col min="9224" max="9224" width="20.625" style="144" bestFit="1" customWidth="1"/>
    <col min="9225" max="9225" width="16.125" style="144" bestFit="1" customWidth="1"/>
    <col min="9226" max="9226" width="16.625" style="144" bestFit="1" customWidth="1"/>
    <col min="9227" max="9227" width="19.875" style="144" bestFit="1" customWidth="1"/>
    <col min="9228" max="9228" width="36.5" style="144" bestFit="1" customWidth="1"/>
    <col min="9229" max="9233" width="10.5" style="144" bestFit="1" customWidth="1"/>
    <col min="9234" max="9472" width="9.125" style="144"/>
    <col min="9473" max="9473" width="13.5" style="144" bestFit="1" customWidth="1"/>
    <col min="9474" max="9474" width="37" style="144" bestFit="1" customWidth="1"/>
    <col min="9475" max="9475" width="12" style="144" bestFit="1" customWidth="1"/>
    <col min="9476" max="9476" width="14.5" style="144" bestFit="1" customWidth="1"/>
    <col min="9477" max="9477" width="16.5" style="144" bestFit="1" customWidth="1"/>
    <col min="9478" max="9478" width="17.625" style="144" bestFit="1" customWidth="1"/>
    <col min="9479" max="9479" width="19.5" style="144" bestFit="1" customWidth="1"/>
    <col min="9480" max="9480" width="20.625" style="144" bestFit="1" customWidth="1"/>
    <col min="9481" max="9481" width="16.125" style="144" bestFit="1" customWidth="1"/>
    <col min="9482" max="9482" width="16.625" style="144" bestFit="1" customWidth="1"/>
    <col min="9483" max="9483" width="19.875" style="144" bestFit="1" customWidth="1"/>
    <col min="9484" max="9484" width="36.5" style="144" bestFit="1" customWidth="1"/>
    <col min="9485" max="9489" width="10.5" style="144" bestFit="1" customWidth="1"/>
    <col min="9490" max="9728" width="9.125" style="144"/>
    <col min="9729" max="9729" width="13.5" style="144" bestFit="1" customWidth="1"/>
    <col min="9730" max="9730" width="37" style="144" bestFit="1" customWidth="1"/>
    <col min="9731" max="9731" width="12" style="144" bestFit="1" customWidth="1"/>
    <col min="9732" max="9732" width="14.5" style="144" bestFit="1" customWidth="1"/>
    <col min="9733" max="9733" width="16.5" style="144" bestFit="1" customWidth="1"/>
    <col min="9734" max="9734" width="17.625" style="144" bestFit="1" customWidth="1"/>
    <col min="9735" max="9735" width="19.5" style="144" bestFit="1" customWidth="1"/>
    <col min="9736" max="9736" width="20.625" style="144" bestFit="1" customWidth="1"/>
    <col min="9737" max="9737" width="16.125" style="144" bestFit="1" customWidth="1"/>
    <col min="9738" max="9738" width="16.625" style="144" bestFit="1" customWidth="1"/>
    <col min="9739" max="9739" width="19.875" style="144" bestFit="1" customWidth="1"/>
    <col min="9740" max="9740" width="36.5" style="144" bestFit="1" customWidth="1"/>
    <col min="9741" max="9745" width="10.5" style="144" bestFit="1" customWidth="1"/>
    <col min="9746" max="9984" width="9.125" style="144"/>
    <col min="9985" max="9985" width="13.5" style="144" bestFit="1" customWidth="1"/>
    <col min="9986" max="9986" width="37" style="144" bestFit="1" customWidth="1"/>
    <col min="9987" max="9987" width="12" style="144" bestFit="1" customWidth="1"/>
    <col min="9988" max="9988" width="14.5" style="144" bestFit="1" customWidth="1"/>
    <col min="9989" max="9989" width="16.5" style="144" bestFit="1" customWidth="1"/>
    <col min="9990" max="9990" width="17.625" style="144" bestFit="1" customWidth="1"/>
    <col min="9991" max="9991" width="19.5" style="144" bestFit="1" customWidth="1"/>
    <col min="9992" max="9992" width="20.625" style="144" bestFit="1" customWidth="1"/>
    <col min="9993" max="9993" width="16.125" style="144" bestFit="1" customWidth="1"/>
    <col min="9994" max="9994" width="16.625" style="144" bestFit="1" customWidth="1"/>
    <col min="9995" max="9995" width="19.875" style="144" bestFit="1" customWidth="1"/>
    <col min="9996" max="9996" width="36.5" style="144" bestFit="1" customWidth="1"/>
    <col min="9997" max="10001" width="10.5" style="144" bestFit="1" customWidth="1"/>
    <col min="10002" max="10240" width="9.125" style="144"/>
    <col min="10241" max="10241" width="13.5" style="144" bestFit="1" customWidth="1"/>
    <col min="10242" max="10242" width="37" style="144" bestFit="1" customWidth="1"/>
    <col min="10243" max="10243" width="12" style="144" bestFit="1" customWidth="1"/>
    <col min="10244" max="10244" width="14.5" style="144" bestFit="1" customWidth="1"/>
    <col min="10245" max="10245" width="16.5" style="144" bestFit="1" customWidth="1"/>
    <col min="10246" max="10246" width="17.625" style="144" bestFit="1" customWidth="1"/>
    <col min="10247" max="10247" width="19.5" style="144" bestFit="1" customWidth="1"/>
    <col min="10248" max="10248" width="20.625" style="144" bestFit="1" customWidth="1"/>
    <col min="10249" max="10249" width="16.125" style="144" bestFit="1" customWidth="1"/>
    <col min="10250" max="10250" width="16.625" style="144" bestFit="1" customWidth="1"/>
    <col min="10251" max="10251" width="19.875" style="144" bestFit="1" customWidth="1"/>
    <col min="10252" max="10252" width="36.5" style="144" bestFit="1" customWidth="1"/>
    <col min="10253" max="10257" width="10.5" style="144" bestFit="1" customWidth="1"/>
    <col min="10258" max="10496" width="9.125" style="144"/>
    <col min="10497" max="10497" width="13.5" style="144" bestFit="1" customWidth="1"/>
    <col min="10498" max="10498" width="37" style="144" bestFit="1" customWidth="1"/>
    <col min="10499" max="10499" width="12" style="144" bestFit="1" customWidth="1"/>
    <col min="10500" max="10500" width="14.5" style="144" bestFit="1" customWidth="1"/>
    <col min="10501" max="10501" width="16.5" style="144" bestFit="1" customWidth="1"/>
    <col min="10502" max="10502" width="17.625" style="144" bestFit="1" customWidth="1"/>
    <col min="10503" max="10503" width="19.5" style="144" bestFit="1" customWidth="1"/>
    <col min="10504" max="10504" width="20.625" style="144" bestFit="1" customWidth="1"/>
    <col min="10505" max="10505" width="16.125" style="144" bestFit="1" customWidth="1"/>
    <col min="10506" max="10506" width="16.625" style="144" bestFit="1" customWidth="1"/>
    <col min="10507" max="10507" width="19.875" style="144" bestFit="1" customWidth="1"/>
    <col min="10508" max="10508" width="36.5" style="144" bestFit="1" customWidth="1"/>
    <col min="10509" max="10513" width="10.5" style="144" bestFit="1" customWidth="1"/>
    <col min="10514" max="10752" width="9.125" style="144"/>
    <col min="10753" max="10753" width="13.5" style="144" bestFit="1" customWidth="1"/>
    <col min="10754" max="10754" width="37" style="144" bestFit="1" customWidth="1"/>
    <col min="10755" max="10755" width="12" style="144" bestFit="1" customWidth="1"/>
    <col min="10756" max="10756" width="14.5" style="144" bestFit="1" customWidth="1"/>
    <col min="10757" max="10757" width="16.5" style="144" bestFit="1" customWidth="1"/>
    <col min="10758" max="10758" width="17.625" style="144" bestFit="1" customWidth="1"/>
    <col min="10759" max="10759" width="19.5" style="144" bestFit="1" customWidth="1"/>
    <col min="10760" max="10760" width="20.625" style="144" bestFit="1" customWidth="1"/>
    <col min="10761" max="10761" width="16.125" style="144" bestFit="1" customWidth="1"/>
    <col min="10762" max="10762" width="16.625" style="144" bestFit="1" customWidth="1"/>
    <col min="10763" max="10763" width="19.875" style="144" bestFit="1" customWidth="1"/>
    <col min="10764" max="10764" width="36.5" style="144" bestFit="1" customWidth="1"/>
    <col min="10765" max="10769" width="10.5" style="144" bestFit="1" customWidth="1"/>
    <col min="10770" max="11008" width="9.125" style="144"/>
    <col min="11009" max="11009" width="13.5" style="144" bestFit="1" customWidth="1"/>
    <col min="11010" max="11010" width="37" style="144" bestFit="1" customWidth="1"/>
    <col min="11011" max="11011" width="12" style="144" bestFit="1" customWidth="1"/>
    <col min="11012" max="11012" width="14.5" style="144" bestFit="1" customWidth="1"/>
    <col min="11013" max="11013" width="16.5" style="144" bestFit="1" customWidth="1"/>
    <col min="11014" max="11014" width="17.625" style="144" bestFit="1" customWidth="1"/>
    <col min="11015" max="11015" width="19.5" style="144" bestFit="1" customWidth="1"/>
    <col min="11016" max="11016" width="20.625" style="144" bestFit="1" customWidth="1"/>
    <col min="11017" max="11017" width="16.125" style="144" bestFit="1" customWidth="1"/>
    <col min="11018" max="11018" width="16.625" style="144" bestFit="1" customWidth="1"/>
    <col min="11019" max="11019" width="19.875" style="144" bestFit="1" customWidth="1"/>
    <col min="11020" max="11020" width="36.5" style="144" bestFit="1" customWidth="1"/>
    <col min="11021" max="11025" width="10.5" style="144" bestFit="1" customWidth="1"/>
    <col min="11026" max="11264" width="9.125" style="144"/>
    <col min="11265" max="11265" width="13.5" style="144" bestFit="1" customWidth="1"/>
    <col min="11266" max="11266" width="37" style="144" bestFit="1" customWidth="1"/>
    <col min="11267" max="11267" width="12" style="144" bestFit="1" customWidth="1"/>
    <col min="11268" max="11268" width="14.5" style="144" bestFit="1" customWidth="1"/>
    <col min="11269" max="11269" width="16.5" style="144" bestFit="1" customWidth="1"/>
    <col min="11270" max="11270" width="17.625" style="144" bestFit="1" customWidth="1"/>
    <col min="11271" max="11271" width="19.5" style="144" bestFit="1" customWidth="1"/>
    <col min="11272" max="11272" width="20.625" style="144" bestFit="1" customWidth="1"/>
    <col min="11273" max="11273" width="16.125" style="144" bestFit="1" customWidth="1"/>
    <col min="11274" max="11274" width="16.625" style="144" bestFit="1" customWidth="1"/>
    <col min="11275" max="11275" width="19.875" style="144" bestFit="1" customWidth="1"/>
    <col min="11276" max="11276" width="36.5" style="144" bestFit="1" customWidth="1"/>
    <col min="11277" max="11281" width="10.5" style="144" bestFit="1" customWidth="1"/>
    <col min="11282" max="11520" width="9.125" style="144"/>
    <col min="11521" max="11521" width="13.5" style="144" bestFit="1" customWidth="1"/>
    <col min="11522" max="11522" width="37" style="144" bestFit="1" customWidth="1"/>
    <col min="11523" max="11523" width="12" style="144" bestFit="1" customWidth="1"/>
    <col min="11524" max="11524" width="14.5" style="144" bestFit="1" customWidth="1"/>
    <col min="11525" max="11525" width="16.5" style="144" bestFit="1" customWidth="1"/>
    <col min="11526" max="11526" width="17.625" style="144" bestFit="1" customWidth="1"/>
    <col min="11527" max="11527" width="19.5" style="144" bestFit="1" customWidth="1"/>
    <col min="11528" max="11528" width="20.625" style="144" bestFit="1" customWidth="1"/>
    <col min="11529" max="11529" width="16.125" style="144" bestFit="1" customWidth="1"/>
    <col min="11530" max="11530" width="16.625" style="144" bestFit="1" customWidth="1"/>
    <col min="11531" max="11531" width="19.875" style="144" bestFit="1" customWidth="1"/>
    <col min="11532" max="11532" width="36.5" style="144" bestFit="1" customWidth="1"/>
    <col min="11533" max="11537" width="10.5" style="144" bestFit="1" customWidth="1"/>
    <col min="11538" max="11776" width="9.125" style="144"/>
    <col min="11777" max="11777" width="13.5" style="144" bestFit="1" customWidth="1"/>
    <col min="11778" max="11778" width="37" style="144" bestFit="1" customWidth="1"/>
    <col min="11779" max="11779" width="12" style="144" bestFit="1" customWidth="1"/>
    <col min="11780" max="11780" width="14.5" style="144" bestFit="1" customWidth="1"/>
    <col min="11781" max="11781" width="16.5" style="144" bestFit="1" customWidth="1"/>
    <col min="11782" max="11782" width="17.625" style="144" bestFit="1" customWidth="1"/>
    <col min="11783" max="11783" width="19.5" style="144" bestFit="1" customWidth="1"/>
    <col min="11784" max="11784" width="20.625" style="144" bestFit="1" customWidth="1"/>
    <col min="11785" max="11785" width="16.125" style="144" bestFit="1" customWidth="1"/>
    <col min="11786" max="11786" width="16.625" style="144" bestFit="1" customWidth="1"/>
    <col min="11787" max="11787" width="19.875" style="144" bestFit="1" customWidth="1"/>
    <col min="11788" max="11788" width="36.5" style="144" bestFit="1" customWidth="1"/>
    <col min="11789" max="11793" width="10.5" style="144" bestFit="1" customWidth="1"/>
    <col min="11794" max="12032" width="9.125" style="144"/>
    <col min="12033" max="12033" width="13.5" style="144" bestFit="1" customWidth="1"/>
    <col min="12034" max="12034" width="37" style="144" bestFit="1" customWidth="1"/>
    <col min="12035" max="12035" width="12" style="144" bestFit="1" customWidth="1"/>
    <col min="12036" max="12036" width="14.5" style="144" bestFit="1" customWidth="1"/>
    <col min="12037" max="12037" width="16.5" style="144" bestFit="1" customWidth="1"/>
    <col min="12038" max="12038" width="17.625" style="144" bestFit="1" customWidth="1"/>
    <col min="12039" max="12039" width="19.5" style="144" bestFit="1" customWidth="1"/>
    <col min="12040" max="12040" width="20.625" style="144" bestFit="1" customWidth="1"/>
    <col min="12041" max="12041" width="16.125" style="144" bestFit="1" customWidth="1"/>
    <col min="12042" max="12042" width="16.625" style="144" bestFit="1" customWidth="1"/>
    <col min="12043" max="12043" width="19.875" style="144" bestFit="1" customWidth="1"/>
    <col min="12044" max="12044" width="36.5" style="144" bestFit="1" customWidth="1"/>
    <col min="12045" max="12049" width="10.5" style="144" bestFit="1" customWidth="1"/>
    <col min="12050" max="12288" width="9.125" style="144"/>
    <col min="12289" max="12289" width="13.5" style="144" bestFit="1" customWidth="1"/>
    <col min="12290" max="12290" width="37" style="144" bestFit="1" customWidth="1"/>
    <col min="12291" max="12291" width="12" style="144" bestFit="1" customWidth="1"/>
    <col min="12292" max="12292" width="14.5" style="144" bestFit="1" customWidth="1"/>
    <col min="12293" max="12293" width="16.5" style="144" bestFit="1" customWidth="1"/>
    <col min="12294" max="12294" width="17.625" style="144" bestFit="1" customWidth="1"/>
    <col min="12295" max="12295" width="19.5" style="144" bestFit="1" customWidth="1"/>
    <col min="12296" max="12296" width="20.625" style="144" bestFit="1" customWidth="1"/>
    <col min="12297" max="12297" width="16.125" style="144" bestFit="1" customWidth="1"/>
    <col min="12298" max="12298" width="16.625" style="144" bestFit="1" customWidth="1"/>
    <col min="12299" max="12299" width="19.875" style="144" bestFit="1" customWidth="1"/>
    <col min="12300" max="12300" width="36.5" style="144" bestFit="1" customWidth="1"/>
    <col min="12301" max="12305" width="10.5" style="144" bestFit="1" customWidth="1"/>
    <col min="12306" max="12544" width="9.125" style="144"/>
    <col min="12545" max="12545" width="13.5" style="144" bestFit="1" customWidth="1"/>
    <col min="12546" max="12546" width="37" style="144" bestFit="1" customWidth="1"/>
    <col min="12547" max="12547" width="12" style="144" bestFit="1" customWidth="1"/>
    <col min="12548" max="12548" width="14.5" style="144" bestFit="1" customWidth="1"/>
    <col min="12549" max="12549" width="16.5" style="144" bestFit="1" customWidth="1"/>
    <col min="12550" max="12550" width="17.625" style="144" bestFit="1" customWidth="1"/>
    <col min="12551" max="12551" width="19.5" style="144" bestFit="1" customWidth="1"/>
    <col min="12552" max="12552" width="20.625" style="144" bestFit="1" customWidth="1"/>
    <col min="12553" max="12553" width="16.125" style="144" bestFit="1" customWidth="1"/>
    <col min="12554" max="12554" width="16.625" style="144" bestFit="1" customWidth="1"/>
    <col min="12555" max="12555" width="19.875" style="144" bestFit="1" customWidth="1"/>
    <col min="12556" max="12556" width="36.5" style="144" bestFit="1" customWidth="1"/>
    <col min="12557" max="12561" width="10.5" style="144" bestFit="1" customWidth="1"/>
    <col min="12562" max="12800" width="9.125" style="144"/>
    <col min="12801" max="12801" width="13.5" style="144" bestFit="1" customWidth="1"/>
    <col min="12802" max="12802" width="37" style="144" bestFit="1" customWidth="1"/>
    <col min="12803" max="12803" width="12" style="144" bestFit="1" customWidth="1"/>
    <col min="12804" max="12804" width="14.5" style="144" bestFit="1" customWidth="1"/>
    <col min="12805" max="12805" width="16.5" style="144" bestFit="1" customWidth="1"/>
    <col min="12806" max="12806" width="17.625" style="144" bestFit="1" customWidth="1"/>
    <col min="12807" max="12807" width="19.5" style="144" bestFit="1" customWidth="1"/>
    <col min="12808" max="12808" width="20.625" style="144" bestFit="1" customWidth="1"/>
    <col min="12809" max="12809" width="16.125" style="144" bestFit="1" customWidth="1"/>
    <col min="12810" max="12810" width="16.625" style="144" bestFit="1" customWidth="1"/>
    <col min="12811" max="12811" width="19.875" style="144" bestFit="1" customWidth="1"/>
    <col min="12812" max="12812" width="36.5" style="144" bestFit="1" customWidth="1"/>
    <col min="12813" max="12817" width="10.5" style="144" bestFit="1" customWidth="1"/>
    <col min="12818" max="13056" width="9.125" style="144"/>
    <col min="13057" max="13057" width="13.5" style="144" bestFit="1" customWidth="1"/>
    <col min="13058" max="13058" width="37" style="144" bestFit="1" customWidth="1"/>
    <col min="13059" max="13059" width="12" style="144" bestFit="1" customWidth="1"/>
    <col min="13060" max="13060" width="14.5" style="144" bestFit="1" customWidth="1"/>
    <col min="13061" max="13061" width="16.5" style="144" bestFit="1" customWidth="1"/>
    <col min="13062" max="13062" width="17.625" style="144" bestFit="1" customWidth="1"/>
    <col min="13063" max="13063" width="19.5" style="144" bestFit="1" customWidth="1"/>
    <col min="13064" max="13064" width="20.625" style="144" bestFit="1" customWidth="1"/>
    <col min="13065" max="13065" width="16.125" style="144" bestFit="1" customWidth="1"/>
    <col min="13066" max="13066" width="16.625" style="144" bestFit="1" customWidth="1"/>
    <col min="13067" max="13067" width="19.875" style="144" bestFit="1" customWidth="1"/>
    <col min="13068" max="13068" width="36.5" style="144" bestFit="1" customWidth="1"/>
    <col min="13069" max="13073" width="10.5" style="144" bestFit="1" customWidth="1"/>
    <col min="13074" max="13312" width="9.125" style="144"/>
    <col min="13313" max="13313" width="13.5" style="144" bestFit="1" customWidth="1"/>
    <col min="13314" max="13314" width="37" style="144" bestFit="1" customWidth="1"/>
    <col min="13315" max="13315" width="12" style="144" bestFit="1" customWidth="1"/>
    <col min="13316" max="13316" width="14.5" style="144" bestFit="1" customWidth="1"/>
    <col min="13317" max="13317" width="16.5" style="144" bestFit="1" customWidth="1"/>
    <col min="13318" max="13318" width="17.625" style="144" bestFit="1" customWidth="1"/>
    <col min="13319" max="13319" width="19.5" style="144" bestFit="1" customWidth="1"/>
    <col min="13320" max="13320" width="20.625" style="144" bestFit="1" customWidth="1"/>
    <col min="13321" max="13321" width="16.125" style="144" bestFit="1" customWidth="1"/>
    <col min="13322" max="13322" width="16.625" style="144" bestFit="1" customWidth="1"/>
    <col min="13323" max="13323" width="19.875" style="144" bestFit="1" customWidth="1"/>
    <col min="13324" max="13324" width="36.5" style="144" bestFit="1" customWidth="1"/>
    <col min="13325" max="13329" width="10.5" style="144" bestFit="1" customWidth="1"/>
    <col min="13330" max="13568" width="9.125" style="144"/>
    <col min="13569" max="13569" width="13.5" style="144" bestFit="1" customWidth="1"/>
    <col min="13570" max="13570" width="37" style="144" bestFit="1" customWidth="1"/>
    <col min="13571" max="13571" width="12" style="144" bestFit="1" customWidth="1"/>
    <col min="13572" max="13572" width="14.5" style="144" bestFit="1" customWidth="1"/>
    <col min="13573" max="13573" width="16.5" style="144" bestFit="1" customWidth="1"/>
    <col min="13574" max="13574" width="17.625" style="144" bestFit="1" customWidth="1"/>
    <col min="13575" max="13575" width="19.5" style="144" bestFit="1" customWidth="1"/>
    <col min="13576" max="13576" width="20.625" style="144" bestFit="1" customWidth="1"/>
    <col min="13577" max="13577" width="16.125" style="144" bestFit="1" customWidth="1"/>
    <col min="13578" max="13578" width="16.625" style="144" bestFit="1" customWidth="1"/>
    <col min="13579" max="13579" width="19.875" style="144" bestFit="1" customWidth="1"/>
    <col min="13580" max="13580" width="36.5" style="144" bestFit="1" customWidth="1"/>
    <col min="13581" max="13585" width="10.5" style="144" bestFit="1" customWidth="1"/>
    <col min="13586" max="13824" width="9.125" style="144"/>
    <col min="13825" max="13825" width="13.5" style="144" bestFit="1" customWidth="1"/>
    <col min="13826" max="13826" width="37" style="144" bestFit="1" customWidth="1"/>
    <col min="13827" max="13827" width="12" style="144" bestFit="1" customWidth="1"/>
    <col min="13828" max="13828" width="14.5" style="144" bestFit="1" customWidth="1"/>
    <col min="13829" max="13829" width="16.5" style="144" bestFit="1" customWidth="1"/>
    <col min="13830" max="13830" width="17.625" style="144" bestFit="1" customWidth="1"/>
    <col min="13831" max="13831" width="19.5" style="144" bestFit="1" customWidth="1"/>
    <col min="13832" max="13832" width="20.625" style="144" bestFit="1" customWidth="1"/>
    <col min="13833" max="13833" width="16.125" style="144" bestFit="1" customWidth="1"/>
    <col min="13834" max="13834" width="16.625" style="144" bestFit="1" customWidth="1"/>
    <col min="13835" max="13835" width="19.875" style="144" bestFit="1" customWidth="1"/>
    <col min="13836" max="13836" width="36.5" style="144" bestFit="1" customWidth="1"/>
    <col min="13837" max="13841" width="10.5" style="144" bestFit="1" customWidth="1"/>
    <col min="13842" max="14080" width="9.125" style="144"/>
    <col min="14081" max="14081" width="13.5" style="144" bestFit="1" customWidth="1"/>
    <col min="14082" max="14082" width="37" style="144" bestFit="1" customWidth="1"/>
    <col min="14083" max="14083" width="12" style="144" bestFit="1" customWidth="1"/>
    <col min="14084" max="14084" width="14.5" style="144" bestFit="1" customWidth="1"/>
    <col min="14085" max="14085" width="16.5" style="144" bestFit="1" customWidth="1"/>
    <col min="14086" max="14086" width="17.625" style="144" bestFit="1" customWidth="1"/>
    <col min="14087" max="14087" width="19.5" style="144" bestFit="1" customWidth="1"/>
    <col min="14088" max="14088" width="20.625" style="144" bestFit="1" customWidth="1"/>
    <col min="14089" max="14089" width="16.125" style="144" bestFit="1" customWidth="1"/>
    <col min="14090" max="14090" width="16.625" style="144" bestFit="1" customWidth="1"/>
    <col min="14091" max="14091" width="19.875" style="144" bestFit="1" customWidth="1"/>
    <col min="14092" max="14092" width="36.5" style="144" bestFit="1" customWidth="1"/>
    <col min="14093" max="14097" width="10.5" style="144" bestFit="1" customWidth="1"/>
    <col min="14098" max="14336" width="9.125" style="144"/>
    <col min="14337" max="14337" width="13.5" style="144" bestFit="1" customWidth="1"/>
    <col min="14338" max="14338" width="37" style="144" bestFit="1" customWidth="1"/>
    <col min="14339" max="14339" width="12" style="144" bestFit="1" customWidth="1"/>
    <col min="14340" max="14340" width="14.5" style="144" bestFit="1" customWidth="1"/>
    <col min="14341" max="14341" width="16.5" style="144" bestFit="1" customWidth="1"/>
    <col min="14342" max="14342" width="17.625" style="144" bestFit="1" customWidth="1"/>
    <col min="14343" max="14343" width="19.5" style="144" bestFit="1" customWidth="1"/>
    <col min="14344" max="14344" width="20.625" style="144" bestFit="1" customWidth="1"/>
    <col min="14345" max="14345" width="16.125" style="144" bestFit="1" customWidth="1"/>
    <col min="14346" max="14346" width="16.625" style="144" bestFit="1" customWidth="1"/>
    <col min="14347" max="14347" width="19.875" style="144" bestFit="1" customWidth="1"/>
    <col min="14348" max="14348" width="36.5" style="144" bestFit="1" customWidth="1"/>
    <col min="14349" max="14353" width="10.5" style="144" bestFit="1" customWidth="1"/>
    <col min="14354" max="14592" width="9.125" style="144"/>
    <col min="14593" max="14593" width="13.5" style="144" bestFit="1" customWidth="1"/>
    <col min="14594" max="14594" width="37" style="144" bestFit="1" customWidth="1"/>
    <col min="14595" max="14595" width="12" style="144" bestFit="1" customWidth="1"/>
    <col min="14596" max="14596" width="14.5" style="144" bestFit="1" customWidth="1"/>
    <col min="14597" max="14597" width="16.5" style="144" bestFit="1" customWidth="1"/>
    <col min="14598" max="14598" width="17.625" style="144" bestFit="1" customWidth="1"/>
    <col min="14599" max="14599" width="19.5" style="144" bestFit="1" customWidth="1"/>
    <col min="14600" max="14600" width="20.625" style="144" bestFit="1" customWidth="1"/>
    <col min="14601" max="14601" width="16.125" style="144" bestFit="1" customWidth="1"/>
    <col min="14602" max="14602" width="16.625" style="144" bestFit="1" customWidth="1"/>
    <col min="14603" max="14603" width="19.875" style="144" bestFit="1" customWidth="1"/>
    <col min="14604" max="14604" width="36.5" style="144" bestFit="1" customWidth="1"/>
    <col min="14605" max="14609" width="10.5" style="144" bestFit="1" customWidth="1"/>
    <col min="14610" max="14848" width="9.125" style="144"/>
    <col min="14849" max="14849" width="13.5" style="144" bestFit="1" customWidth="1"/>
    <col min="14850" max="14850" width="37" style="144" bestFit="1" customWidth="1"/>
    <col min="14851" max="14851" width="12" style="144" bestFit="1" customWidth="1"/>
    <col min="14852" max="14852" width="14.5" style="144" bestFit="1" customWidth="1"/>
    <col min="14853" max="14853" width="16.5" style="144" bestFit="1" customWidth="1"/>
    <col min="14854" max="14854" width="17.625" style="144" bestFit="1" customWidth="1"/>
    <col min="14855" max="14855" width="19.5" style="144" bestFit="1" customWidth="1"/>
    <col min="14856" max="14856" width="20.625" style="144" bestFit="1" customWidth="1"/>
    <col min="14857" max="14857" width="16.125" style="144" bestFit="1" customWidth="1"/>
    <col min="14858" max="14858" width="16.625" style="144" bestFit="1" customWidth="1"/>
    <col min="14859" max="14859" width="19.875" style="144" bestFit="1" customWidth="1"/>
    <col min="14860" max="14860" width="36.5" style="144" bestFit="1" customWidth="1"/>
    <col min="14861" max="14865" width="10.5" style="144" bestFit="1" customWidth="1"/>
    <col min="14866" max="15104" width="9.125" style="144"/>
    <col min="15105" max="15105" width="13.5" style="144" bestFit="1" customWidth="1"/>
    <col min="15106" max="15106" width="37" style="144" bestFit="1" customWidth="1"/>
    <col min="15107" max="15107" width="12" style="144" bestFit="1" customWidth="1"/>
    <col min="15108" max="15108" width="14.5" style="144" bestFit="1" customWidth="1"/>
    <col min="15109" max="15109" width="16.5" style="144" bestFit="1" customWidth="1"/>
    <col min="15110" max="15110" width="17.625" style="144" bestFit="1" customWidth="1"/>
    <col min="15111" max="15111" width="19.5" style="144" bestFit="1" customWidth="1"/>
    <col min="15112" max="15112" width="20.625" style="144" bestFit="1" customWidth="1"/>
    <col min="15113" max="15113" width="16.125" style="144" bestFit="1" customWidth="1"/>
    <col min="15114" max="15114" width="16.625" style="144" bestFit="1" customWidth="1"/>
    <col min="15115" max="15115" width="19.875" style="144" bestFit="1" customWidth="1"/>
    <col min="15116" max="15116" width="36.5" style="144" bestFit="1" customWidth="1"/>
    <col min="15117" max="15121" width="10.5" style="144" bestFit="1" customWidth="1"/>
    <col min="15122" max="15360" width="9.125" style="144"/>
    <col min="15361" max="15361" width="13.5" style="144" bestFit="1" customWidth="1"/>
    <col min="15362" max="15362" width="37" style="144" bestFit="1" customWidth="1"/>
    <col min="15363" max="15363" width="12" style="144" bestFit="1" customWidth="1"/>
    <col min="15364" max="15364" width="14.5" style="144" bestFit="1" customWidth="1"/>
    <col min="15365" max="15365" width="16.5" style="144" bestFit="1" customWidth="1"/>
    <col min="15366" max="15366" width="17.625" style="144" bestFit="1" customWidth="1"/>
    <col min="15367" max="15367" width="19.5" style="144" bestFit="1" customWidth="1"/>
    <col min="15368" max="15368" width="20.625" style="144" bestFit="1" customWidth="1"/>
    <col min="15369" max="15369" width="16.125" style="144" bestFit="1" customWidth="1"/>
    <col min="15370" max="15370" width="16.625" style="144" bestFit="1" customWidth="1"/>
    <col min="15371" max="15371" width="19.875" style="144" bestFit="1" customWidth="1"/>
    <col min="15372" max="15372" width="36.5" style="144" bestFit="1" customWidth="1"/>
    <col min="15373" max="15377" width="10.5" style="144" bestFit="1" customWidth="1"/>
    <col min="15378" max="15616" width="9.125" style="144"/>
    <col min="15617" max="15617" width="13.5" style="144" bestFit="1" customWidth="1"/>
    <col min="15618" max="15618" width="37" style="144" bestFit="1" customWidth="1"/>
    <col min="15619" max="15619" width="12" style="144" bestFit="1" customWidth="1"/>
    <col min="15620" max="15620" width="14.5" style="144" bestFit="1" customWidth="1"/>
    <col min="15621" max="15621" width="16.5" style="144" bestFit="1" customWidth="1"/>
    <col min="15622" max="15622" width="17.625" style="144" bestFit="1" customWidth="1"/>
    <col min="15623" max="15623" width="19.5" style="144" bestFit="1" customWidth="1"/>
    <col min="15624" max="15624" width="20.625" style="144" bestFit="1" customWidth="1"/>
    <col min="15625" max="15625" width="16.125" style="144" bestFit="1" customWidth="1"/>
    <col min="15626" max="15626" width="16.625" style="144" bestFit="1" customWidth="1"/>
    <col min="15627" max="15627" width="19.875" style="144" bestFit="1" customWidth="1"/>
    <col min="15628" max="15628" width="36.5" style="144" bestFit="1" customWidth="1"/>
    <col min="15629" max="15633" width="10.5" style="144" bestFit="1" customWidth="1"/>
    <col min="15634" max="15872" width="9.125" style="144"/>
    <col min="15873" max="15873" width="13.5" style="144" bestFit="1" customWidth="1"/>
    <col min="15874" max="15874" width="37" style="144" bestFit="1" customWidth="1"/>
    <col min="15875" max="15875" width="12" style="144" bestFit="1" customWidth="1"/>
    <col min="15876" max="15876" width="14.5" style="144" bestFit="1" customWidth="1"/>
    <col min="15877" max="15877" width="16.5" style="144" bestFit="1" customWidth="1"/>
    <col min="15878" max="15878" width="17.625" style="144" bestFit="1" customWidth="1"/>
    <col min="15879" max="15879" width="19.5" style="144" bestFit="1" customWidth="1"/>
    <col min="15880" max="15880" width="20.625" style="144" bestFit="1" customWidth="1"/>
    <col min="15881" max="15881" width="16.125" style="144" bestFit="1" customWidth="1"/>
    <col min="15882" max="15882" width="16.625" style="144" bestFit="1" customWidth="1"/>
    <col min="15883" max="15883" width="19.875" style="144" bestFit="1" customWidth="1"/>
    <col min="15884" max="15884" width="36.5" style="144" bestFit="1" customWidth="1"/>
    <col min="15885" max="15889" width="10.5" style="144" bestFit="1" customWidth="1"/>
    <col min="15890" max="16128" width="9.125" style="144"/>
    <col min="16129" max="16129" width="13.5" style="144" bestFit="1" customWidth="1"/>
    <col min="16130" max="16130" width="37" style="144" bestFit="1" customWidth="1"/>
    <col min="16131" max="16131" width="12" style="144" bestFit="1" customWidth="1"/>
    <col min="16132" max="16132" width="14.5" style="144" bestFit="1" customWidth="1"/>
    <col min="16133" max="16133" width="16.5" style="144" bestFit="1" customWidth="1"/>
    <col min="16134" max="16134" width="17.625" style="144" bestFit="1" customWidth="1"/>
    <col min="16135" max="16135" width="19.5" style="144" bestFit="1" customWidth="1"/>
    <col min="16136" max="16136" width="20.625" style="144" bestFit="1" customWidth="1"/>
    <col min="16137" max="16137" width="16.125" style="144" bestFit="1" customWidth="1"/>
    <col min="16138" max="16138" width="16.625" style="144" bestFit="1" customWidth="1"/>
    <col min="16139" max="16139" width="19.875" style="144" bestFit="1" customWidth="1"/>
    <col min="16140" max="16140" width="36.5" style="144" bestFit="1" customWidth="1"/>
    <col min="16141" max="16145" width="10.5" style="144" bestFit="1" customWidth="1"/>
    <col min="16146" max="16384" width="9.125" style="144"/>
  </cols>
  <sheetData>
    <row r="1" spans="1:11" s="135" customFormat="1" ht="21.75" customHeight="1">
      <c r="A1" s="134"/>
      <c r="B1" s="134"/>
      <c r="C1" s="134"/>
      <c r="D1" s="134"/>
      <c r="E1" s="134"/>
      <c r="F1" s="134"/>
      <c r="G1" s="134"/>
      <c r="H1" s="134"/>
      <c r="I1" s="134"/>
      <c r="J1" s="134"/>
      <c r="K1" s="134"/>
    </row>
    <row r="2" spans="1:11" s="138" customFormat="1" ht="21.75" customHeight="1">
      <c r="A2" s="136" t="s">
        <v>2</v>
      </c>
      <c r="B2" s="136" t="s">
        <v>185</v>
      </c>
      <c r="C2" s="137" t="s">
        <v>239</v>
      </c>
      <c r="D2" s="137" t="s">
        <v>112</v>
      </c>
      <c r="E2" s="137" t="s">
        <v>240</v>
      </c>
      <c r="F2" s="137" t="s">
        <v>241</v>
      </c>
      <c r="G2" s="137" t="s">
        <v>162</v>
      </c>
      <c r="H2" s="137" t="s">
        <v>242</v>
      </c>
      <c r="I2" s="137" t="s">
        <v>243</v>
      </c>
      <c r="J2" s="137" t="s">
        <v>244</v>
      </c>
      <c r="K2" s="137" t="s">
        <v>245</v>
      </c>
    </row>
    <row r="3" spans="1:11" ht="21.75" customHeight="1">
      <c r="A3" s="139">
        <v>4</v>
      </c>
      <c r="B3" s="140" t="s">
        <v>263</v>
      </c>
      <c r="C3" s="139" t="s">
        <v>32</v>
      </c>
      <c r="D3" s="139" t="s">
        <v>130</v>
      </c>
      <c r="E3" s="141">
        <v>836776690</v>
      </c>
      <c r="F3" s="141" t="s">
        <v>87</v>
      </c>
      <c r="G3" s="141">
        <v>847076375</v>
      </c>
      <c r="H3" s="139" t="s">
        <v>264</v>
      </c>
      <c r="I3" s="139" t="s">
        <v>265</v>
      </c>
      <c r="J3" s="139" t="s">
        <v>249</v>
      </c>
      <c r="K3" s="140" t="s">
        <v>87</v>
      </c>
    </row>
    <row r="4" spans="1:11" ht="21.75" customHeight="1">
      <c r="J4" s="148"/>
      <c r="K4" s="148"/>
    </row>
    <row r="5" spans="1:11" ht="21.75" customHeight="1">
      <c r="D5" s="147" t="s">
        <v>130</v>
      </c>
      <c r="E5" s="149">
        <v>836776690</v>
      </c>
    </row>
  </sheetData>
  <pageMargins left="0.7" right="0.7" top="0.75" bottom="0.75" header="0.3" footer="0.3"/>
  <pageSetup paperSize="9" scale="70" fitToHeight="0" orientation="landscape" useFirstPageNumber="1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</vt:lpstr>
      <vt:lpstr>بانک</vt:lpstr>
      <vt:lpstr>تجارت6235</vt:lpstr>
      <vt:lpstr>تجارت2987</vt:lpstr>
      <vt:lpstr>رفاه8151</vt:lpstr>
      <vt:lpstr>مسکن</vt:lpstr>
      <vt:lpstr>ملت</vt:lpstr>
      <vt:lpstr>ملی</vt:lpstr>
      <vt:lpstr>پارسیان</vt:lpstr>
      <vt:lpstr>پارسیان 70004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HATEFI</dc:creator>
  <cp:lastModifiedBy>Windows User</cp:lastModifiedBy>
  <dcterms:created xsi:type="dcterms:W3CDTF">2025-06-29T08:26:23Z</dcterms:created>
  <dcterms:modified xsi:type="dcterms:W3CDTF">2025-10-18T07:23:33Z</dcterms:modified>
</cp:coreProperties>
</file>